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girasoleenergies.sharepoint.com/sites/Serviceperformance/Documents partages/4. Audit_terrain/2025/Installation_PV/Donnees_entree/"/>
    </mc:Choice>
  </mc:AlternateContent>
  <xr:revisionPtr revIDLastSave="387" documentId="8_{6F5FC193-25DB-49AE-A190-057FC0D444BD}" xr6:coauthVersionLast="47" xr6:coauthVersionMax="47" xr10:uidLastSave="{11DAFB33-0AC4-4724-A945-E95B0F7E2730}"/>
  <bookViews>
    <workbookView xWindow="11850" yWindow="-16320" windowWidth="29040" windowHeight="15720" xr2:uid="{A9A38BAE-8CDA-42F2-9433-0F8503AFED19}"/>
  </bookViews>
  <sheets>
    <sheet name="Liste audit" sheetId="1" r:id="rId1"/>
    <sheet name="Feuil4" sheetId="4" r:id="rId2"/>
  </sheets>
  <definedNames>
    <definedName name="_xlnm._FilterDatabase" localSheetId="0" hidden="1">'Liste audit'!$A$2:$Y$54</definedName>
    <definedName name="query__72" localSheetId="1" hidden="1">Feuil4!$A$1:$CD$374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1" l="1"/>
  <c r="J54" i="1"/>
  <c r="H54" i="1"/>
  <c r="F54" i="1"/>
  <c r="E54" i="1"/>
  <c r="C54" i="1"/>
  <c r="B54" i="1"/>
  <c r="R54" i="1"/>
  <c r="S54" i="1" s="1"/>
  <c r="U54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4F19DD-040D-40BC-9410-111330DA045D}" odcFile="C:\Users\vpontais\Downloads\query (72).iqy" keepAlive="1" name="query (72)" type="5" refreshedVersion="8" minRefreshableVersion="3" saveData="1">
    <dbPr connection="Provider=Microsoft.Office.List.OLEDB.2.0;Data Source=&quot;&quot;;ApplicationName=Excel;Version=12.0.0.0" command="&lt;LIST&gt;&lt;VIEWGUID&gt;B4687BB4-CBDE-44AC-BFF6-33FD946B25DE&lt;/VIEWGUID&gt;&lt;LISTNAME&gt;125f25b6-d5e2-4e56-bc9b-6d40608a080e&lt;/LISTNAME&gt;&lt;LISTWEB&gt;https://girasoleenergies.sharepoint.com/sites/ServiceOM-Asset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<sst xmlns="http://schemas.openxmlformats.org/spreadsheetml/2006/main" count="14361" uniqueCount="4599">
  <si>
    <t>IDENTIFICATION-LOCALISATION-DONNEES DU SITE</t>
  </si>
  <si>
    <t>Installation PV</t>
  </si>
  <si>
    <t>BUREAU DE CONTÔLE DRE</t>
  </si>
  <si>
    <t>Mise en service</t>
  </si>
  <si>
    <t>MATERIELS</t>
  </si>
  <si>
    <t>CONTACT</t>
  </si>
  <si>
    <t>AUDIT</t>
  </si>
  <si>
    <t>INFO COMPLEMENTAIRES</t>
  </si>
  <si>
    <t>ID référent</t>
  </si>
  <si>
    <t>Nom des projets</t>
  </si>
  <si>
    <t>Puissance EXE</t>
  </si>
  <si>
    <t>SPV</t>
  </si>
  <si>
    <t>Latitude</t>
  </si>
  <si>
    <t>Longitude</t>
  </si>
  <si>
    <t>Adresse</t>
  </si>
  <si>
    <t>Dept</t>
  </si>
  <si>
    <t>Type de centrale</t>
  </si>
  <si>
    <t>Installateur</t>
  </si>
  <si>
    <t>Date réelle démarrage centrale PV</t>
  </si>
  <si>
    <t>Date réelle fin centrale PV</t>
  </si>
  <si>
    <t>Entreprise</t>
  </si>
  <si>
    <t>Date de reception réelle des DRE 155/162</t>
  </si>
  <si>
    <t>Date MES</t>
  </si>
  <si>
    <t>SI</t>
  </si>
  <si>
    <t>Panneaux</t>
  </si>
  <si>
    <t>Contact Chargé Exploitation</t>
  </si>
  <si>
    <t>Numéro Chargé d'exploitation</t>
  </si>
  <si>
    <t>Contact Gestion actif</t>
  </si>
  <si>
    <t>Numéro Gestion actif</t>
  </si>
  <si>
    <t>Audit en toiture</t>
  </si>
  <si>
    <t>Audit hors toiture</t>
  </si>
  <si>
    <t>Sous performance non identifié</t>
  </si>
  <si>
    <t>Ratio PR réel VS PR théorique OCTOBRE</t>
  </si>
  <si>
    <t>Raison probable</t>
  </si>
  <si>
    <t>Date prévisionnelle d'audit</t>
  </si>
  <si>
    <t>Date réelle d'audit</t>
  </si>
  <si>
    <t>Présence auto controle</t>
  </si>
  <si>
    <t>Présence PV réception lot PV</t>
  </si>
  <si>
    <t>Présence CR visite chantier lot PV</t>
  </si>
  <si>
    <t>Antunez - SCI ANAUJA</t>
  </si>
  <si>
    <t>F2 DAVAI ENRSPV8</t>
  </si>
  <si>
    <t>253 Bd Robert Koch, 34500 Béziers, France</t>
  </si>
  <si>
    <t>Ombrière simple</t>
  </si>
  <si>
    <t>LE TRIANGLE</t>
  </si>
  <si>
    <t>SOCOTEC POWER SERVICES</t>
  </si>
  <si>
    <t>Triangle IAB</t>
  </si>
  <si>
    <t>DMEGC-DM425M10T-B54HSW-HBW</t>
  </si>
  <si>
    <t>Jean-Paul THOROGOOD</t>
  </si>
  <si>
    <t>X</t>
  </si>
  <si>
    <t>Non</t>
  </si>
  <si>
    <t>EARL CADOT</t>
  </si>
  <si>
    <t>F3 DAVAI ENRSPV10</t>
  </si>
  <si>
    <t>La Maisonneuve, 42310 Urbise, France</t>
  </si>
  <si>
    <t>Bâtiment à construire - C</t>
  </si>
  <si>
    <t>3C instal</t>
  </si>
  <si>
    <t>JORIS RS-R</t>
  </si>
  <si>
    <t>DMEGC-DM455M10RT-54HSW-HBW</t>
  </si>
  <si>
    <t>Oui</t>
  </si>
  <si>
    <t>Azemar</t>
  </si>
  <si>
    <t>F3 DAVAI ENRSPV13</t>
  </si>
  <si>
    <t>12160 Camboulazet, France</t>
  </si>
  <si>
    <t xml:space="preserve">BUREAU VERITAS </t>
  </si>
  <si>
    <t>DOMESOLAR NPA 3.45</t>
  </si>
  <si>
    <t>DMEGC-DM455M10RT-B54HSW</t>
  </si>
  <si>
    <t>Mathieu Montet</t>
  </si>
  <si>
    <t>F2 DAVAI ENRSPV12</t>
  </si>
  <si>
    <t>127 Route de la Tour, 38110 Montagnieu, France</t>
  </si>
  <si>
    <t>Toiture existante / Rénovation</t>
  </si>
  <si>
    <t>PROSUNFRANCE</t>
  </si>
  <si>
    <t>DOMESOLAR Hb²/NPA 3.45</t>
  </si>
  <si>
    <t>DMEGC-DM415M10-54HSW-V</t>
  </si>
  <si>
    <t>Hangar Laurent ROUX</t>
  </si>
  <si>
    <t>Cros et Vareine, 15260 Neuvéglise-sur-Truyère, France</t>
  </si>
  <si>
    <t xml:space="preserve">OFT </t>
  </si>
  <si>
    <t>DOMESOLAR Ital Solar</t>
  </si>
  <si>
    <t>DMEGC-DM430M10T-54HSW-HBW</t>
  </si>
  <si>
    <t>Pb AGCP qui déclenche</t>
  </si>
  <si>
    <t>Hangar Bernard MAGE</t>
  </si>
  <si>
    <t>Broussoles, 46210 Montet-et-Bouxal, France</t>
  </si>
  <si>
    <t>Bâtiment à construire -  A2</t>
  </si>
  <si>
    <t>Acrom</t>
  </si>
  <si>
    <t>JKM445N-54HL4R-V</t>
  </si>
  <si>
    <t>Hangar Pierre MOURGUES</t>
  </si>
  <si>
    <t>F2 DAVAI ENRSPV9</t>
  </si>
  <si>
    <t>Mondounet - Fargues, 46800 Porte-du-Quercy, France</t>
  </si>
  <si>
    <t>DMEGC-DM445M10RT-54HSW-HBW</t>
  </si>
  <si>
    <t>Victor PONTAIS</t>
  </si>
  <si>
    <t>Hangar Karl Biteau</t>
  </si>
  <si>
    <t>17250 Sainte-Gemme, France</t>
  </si>
  <si>
    <t>Eiffage</t>
  </si>
  <si>
    <t>Burgat Et Fils Tp</t>
  </si>
  <si>
    <t>F2 DAVAI ENRSPV6</t>
  </si>
  <si>
    <t>La Plaine 11300 Cournanel</t>
  </si>
  <si>
    <t>SOLARTIS</t>
  </si>
  <si>
    <t>HANGAR Angelina SIMMONET</t>
  </si>
  <si>
    <t>L'Étang Fouché, 03230 Paray-le-Frésil, France</t>
  </si>
  <si>
    <t>Bâtiment à construire - A1</t>
  </si>
  <si>
    <t>Triangle ISB</t>
  </si>
  <si>
    <t>Maymat</t>
  </si>
  <si>
    <t>Les Sorreaux, 03400 Toulon-sur-Allier, France</t>
  </si>
  <si>
    <t>HANGAR Christian MIGNARD</t>
  </si>
  <si>
    <t>Chemin de Rieux 11700 Pépieux</t>
  </si>
  <si>
    <t>Bâtiment à construire - B</t>
  </si>
  <si>
    <t>Solartis</t>
  </si>
  <si>
    <t>DUMONT GUY</t>
  </si>
  <si>
    <t>Les Sabots, 03230 Chevagnes, France</t>
  </si>
  <si>
    <t>MARTEL 184 Construction</t>
  </si>
  <si>
    <t>Lieudit Les Ribières, 23240 Le Grand Bourg</t>
  </si>
  <si>
    <t>NEOXOM</t>
  </si>
  <si>
    <t>JKM450N-54HL4R-V</t>
  </si>
  <si>
    <t>Modification des shelters jusqu'au 6 octobre</t>
  </si>
  <si>
    <t>BOUCHARDY 203 LOC</t>
  </si>
  <si>
    <t>Saint-Martin, 23320 Saint-Vaury, France</t>
  </si>
  <si>
    <t>OFT</t>
  </si>
  <si>
    <t>BOULOIR 206 LOC</t>
  </si>
  <si>
    <t>23240 Le Grand-Bourg, France</t>
  </si>
  <si>
    <t>Hangar Renaud Sonnard</t>
  </si>
  <si>
    <t>F3 DAVAI ENRSPV11</t>
  </si>
  <si>
    <t>Les grandes versaines, 79160 Villiers-en-Plaine, France</t>
  </si>
  <si>
    <t>REGIESOLAIRE</t>
  </si>
  <si>
    <t>Hangar Fabrice COMBY</t>
  </si>
  <si>
    <t>Besse, 19210 Saint-Éloy-les-Tuileries, France</t>
  </si>
  <si>
    <t>Toiture existante / PV Ready</t>
  </si>
  <si>
    <t>HBBAT</t>
  </si>
  <si>
    <t>Hangar Julien Vaudin</t>
  </si>
  <si>
    <t>F2 DAVAI ENRSPV7</t>
  </si>
  <si>
    <t>Les Jacquets, 03230 Chevagnes, France</t>
  </si>
  <si>
    <t>Hangar Richard VAN ZANTEN</t>
  </si>
  <si>
    <t>La Tuque, 47210 Parranquet, France</t>
  </si>
  <si>
    <t>HANGAR Benoit BERTELOOT</t>
  </si>
  <si>
    <t>127 Lieu Dit les Cleris 89150 Vernoy</t>
  </si>
  <si>
    <t>10 Rue de Vareine 15260 Neuvéglise-sur-Truyère</t>
  </si>
  <si>
    <t>Yama Energies</t>
  </si>
  <si>
    <t>Serge Maltaverne</t>
  </si>
  <si>
    <t>638 Chard, 71320 Sainte-Radegonde, France</t>
  </si>
  <si>
    <t>Hangar Christophe CARRERE n°2</t>
  </si>
  <si>
    <t>Boy, 47600 Montagnac-sur-Auvignon, France</t>
  </si>
  <si>
    <t>Hangar Frédéric CASTET</t>
  </si>
  <si>
    <t>11 Carrère de la Goutille, 31160 Estadens, France</t>
  </si>
  <si>
    <t>KEVEL</t>
  </si>
  <si>
    <t>MARTEL 183 LOC</t>
  </si>
  <si>
    <t>LIEU-DIT LES RIBIERES LE GRAND BOURG</t>
  </si>
  <si>
    <t>Hangar Frederic Sinaud</t>
  </si>
  <si>
    <t>11 La Quaire, 23240 Saint-Priest-la-Plaine, France</t>
  </si>
  <si>
    <t>INNOVA</t>
  </si>
  <si>
    <t>La Drable, 23300 Saint Priest la feuille</t>
  </si>
  <si>
    <t>HARAS DE LA MAJORIE/MANOHA</t>
  </si>
  <si>
    <t>L'Homme, 07790 Saint-Alban-d'Ay, France</t>
  </si>
  <si>
    <t>Hangar Yannick CLEMENT</t>
  </si>
  <si>
    <t>F3 GIRASPV15</t>
  </si>
  <si>
    <t>Gazailles, 31160 Estadens, France</t>
  </si>
  <si>
    <t>Concept-TY Chambray 2</t>
  </si>
  <si>
    <t>Rue Etienne Cosson, 37170 Chambray-lès-Tours, France</t>
  </si>
  <si>
    <t>Soprasolar FixEvoTilt</t>
  </si>
  <si>
    <t>Hangar Patrick BLANCHET</t>
  </si>
  <si>
    <t>F3 DAVAI ENRSPV14</t>
  </si>
  <si>
    <t>Les Exclis, 26110 Venterol, France</t>
  </si>
  <si>
    <t>MATHIEU Vincent</t>
  </si>
  <si>
    <t>Lieu-dit Les Avals 11700 LA REDORTE</t>
  </si>
  <si>
    <t>Déclenchement AHCP récurrent</t>
  </si>
  <si>
    <t>Cheraud</t>
  </si>
  <si>
    <t>Bellevue, 44260 Malville, France</t>
  </si>
  <si>
    <t>11 carrère de la Gentille, ESTADENS, 31160</t>
  </si>
  <si>
    <t>Didier - PRIEUR</t>
  </si>
  <si>
    <t>Quartier de Montalivet 26120 Montmeyran</t>
  </si>
  <si>
    <t>Hangar Eric LOGNON</t>
  </si>
  <si>
    <t>Château des Millets, 03230 Chevagnes, France</t>
  </si>
  <si>
    <t>Hangar LAMIOT</t>
  </si>
  <si>
    <t>La Gélopière, 42110 Feurs, France</t>
  </si>
  <si>
    <t>VIEL</t>
  </si>
  <si>
    <t>La Haute Bellangerais, 44390 Les Touches, France</t>
  </si>
  <si>
    <t>Remplacement onduleur 20/10</t>
  </si>
  <si>
    <t>638  route Chard, 71320 Sainte-Radegonde, France</t>
  </si>
  <si>
    <t>SCI KILJOR</t>
  </si>
  <si>
    <t>6 Rue Albert Camus, 07800 La Voulte-sur-Rhône, France</t>
  </si>
  <si>
    <t>Hangar Benjamin CHASSON</t>
  </si>
  <si>
    <t>465 Rue Jean Rostand, 26800 Portes-lès-Valence, France</t>
  </si>
  <si>
    <t xml:space="preserve">NEOXOM </t>
  </si>
  <si>
    <t>Bourgeois</t>
  </si>
  <si>
    <t>Le Roscouët, 44440 Teillé, France</t>
  </si>
  <si>
    <t>DOME SOLAR Helios B²</t>
  </si>
  <si>
    <t>EARL GOUNY</t>
  </si>
  <si>
    <t>Gouny, 47350 Escassefort, France</t>
  </si>
  <si>
    <t>Hangar Maxime Bayle</t>
  </si>
  <si>
    <t>Château Lagoual, 11400 Lasbordes, France</t>
  </si>
  <si>
    <t>Commune De Pomas</t>
  </si>
  <si>
    <t>Rue de la Mairie, 11250 Pomas, France</t>
  </si>
  <si>
    <t>GFA LASCOMBES - ANTOINE MICOULEAU</t>
  </si>
  <si>
    <t>Lascombes, 11170 Alzonne, France</t>
  </si>
  <si>
    <t>HANGAR Gérald Guillet</t>
  </si>
  <si>
    <t>Bois Rond, 17510 Les Éduts, France</t>
  </si>
  <si>
    <t>Hangar Joris SAINT MARTIN</t>
  </si>
  <si>
    <t>Palancot, 32160 Jû-Belloc, France</t>
  </si>
  <si>
    <t>GAYET 42</t>
  </si>
  <si>
    <t>419 Chemin des Seigles, 42210 Craintilleux, France</t>
  </si>
  <si>
    <t>Hangar Sebastien RUDELLE</t>
  </si>
  <si>
    <t>Crayssac, 12120 Salmiech, France</t>
  </si>
  <si>
    <t>548 Route de Marignac, 31430 Gratens, France</t>
  </si>
  <si>
    <t>ID Pipedrive</t>
  </si>
  <si>
    <t>undefined</t>
  </si>
  <si>
    <t>Projet/SPV</t>
  </si>
  <si>
    <t>Date Mise en Service</t>
  </si>
  <si>
    <t>Code Postale</t>
  </si>
  <si>
    <t>Ville</t>
  </si>
  <si>
    <t>Contrat de bail</t>
  </si>
  <si>
    <t>Client</t>
  </si>
  <si>
    <t>Type de Contrat</t>
  </si>
  <si>
    <t>Numéro BTA</t>
  </si>
  <si>
    <t>Numéro CARD-I</t>
  </si>
  <si>
    <t>Nombre de PDL</t>
  </si>
  <si>
    <t>Numéro PRM</t>
  </si>
  <si>
    <t>Puissance crête (kWc)</t>
  </si>
  <si>
    <t>Puissance maximale (kVA)</t>
  </si>
  <si>
    <t>Puissance souscrite (kVA)</t>
  </si>
  <si>
    <t>Productible P50 kWh/kWc/an</t>
  </si>
  <si>
    <t>Production P50 kWh/an</t>
  </si>
  <si>
    <t>Productible Variabilité P50</t>
  </si>
  <si>
    <t>PR Go construction</t>
  </si>
  <si>
    <t>Productible Go Construction kWh/kWc</t>
  </si>
  <si>
    <t>Domaine de tension</t>
  </si>
  <si>
    <t>Date Achat T0</t>
  </si>
  <si>
    <t>Tarif d'Achat (€/kWh)</t>
  </si>
  <si>
    <t>Convention Tarif Essais</t>
  </si>
  <si>
    <t>Contrat ACC</t>
  </si>
  <si>
    <t>Acheteur</t>
  </si>
  <si>
    <t>GRD</t>
  </si>
  <si>
    <t>Surface modules (m²)</t>
  </si>
  <si>
    <t>Financement</t>
  </si>
  <si>
    <t>Mentions particulières</t>
  </si>
  <si>
    <t>Mainteneur</t>
  </si>
  <si>
    <t>Nom complet du Client</t>
  </si>
  <si>
    <t>Email principal du client</t>
  </si>
  <si>
    <t>Email secondaire client</t>
  </si>
  <si>
    <t>Téléphone principal client</t>
  </si>
  <si>
    <t>Téléphone secondaire client</t>
  </si>
  <si>
    <t>Installateur électrique</t>
  </si>
  <si>
    <t>Installateur structure</t>
  </si>
  <si>
    <t>Loyer</t>
  </si>
  <si>
    <t>Échéance</t>
  </si>
  <si>
    <t>Echéance Année en cours</t>
  </si>
  <si>
    <t>Type de Loyer</t>
  </si>
  <si>
    <t>TVA Applicable</t>
  </si>
  <si>
    <t>% du CA</t>
  </si>
  <si>
    <t>Montant du Loyer fixe</t>
  </si>
  <si>
    <t>Fréquence</t>
  </si>
  <si>
    <t>Loyer &gt;20ans</t>
  </si>
  <si>
    <t>Type de Loyer Post 20ans</t>
  </si>
  <si>
    <t>% Du CA Post 20ans</t>
  </si>
  <si>
    <t>Montant du Loyer fixe (&gt;20ans)</t>
  </si>
  <si>
    <t>Chargé d'Exploitation</t>
  </si>
  <si>
    <t>Gestionnaire d'Actif</t>
  </si>
  <si>
    <t>Chef de Projet</t>
  </si>
  <si>
    <t>Chargé d'affaire</t>
  </si>
  <si>
    <t>Reference Contrat Maintenance</t>
  </si>
  <si>
    <t>Reference Contrat Developpement</t>
  </si>
  <si>
    <t>Reference Contrat O&amp;M</t>
  </si>
  <si>
    <t>Refacturation Girasole Services</t>
  </si>
  <si>
    <t>Refacturation Télésurveillance F2</t>
  </si>
  <si>
    <t>Date Début Exploitation</t>
  </si>
  <si>
    <t>Date PV Transfert en Exploitation signé</t>
  </si>
  <si>
    <t>Date PV de fin de garantie de performance signé</t>
  </si>
  <si>
    <t>Montant Pénalités EPC 1an</t>
  </si>
  <si>
    <t>Montant Pénalités Retard Contrat d'achat</t>
  </si>
  <si>
    <t>Titulaire du Bail</t>
  </si>
  <si>
    <t>Adresse Titulaire du Bail</t>
  </si>
  <si>
    <t>Ville Titulaire du Bail</t>
  </si>
  <si>
    <t>Code Postale Titulaire du Bail</t>
  </si>
  <si>
    <t>SIREN (si applicable)</t>
  </si>
  <si>
    <t>Date fin du Bail</t>
  </si>
  <si>
    <t>Activité sous toiture</t>
  </si>
  <si>
    <t>Date Début Contrat d'Achat OA</t>
  </si>
  <si>
    <t>Date fin du Contrat d'Achat OA</t>
  </si>
  <si>
    <t>Date signature Contrat D'achat OA</t>
  </si>
  <si>
    <t>Indexation du Loyer</t>
  </si>
  <si>
    <t>Type d'élément</t>
  </si>
  <si>
    <t>Chemin d'accès</t>
  </si>
  <si>
    <t>CHEVRIER</t>
  </si>
  <si>
    <t>DAVAI ENRSPV10</t>
  </si>
  <si>
    <t>712 Rue de la Croix de Romont</t>
  </si>
  <si>
    <t>88390</t>
  </si>
  <si>
    <t>Darnieulles</t>
  </si>
  <si>
    <t>BaC</t>
  </si>
  <si>
    <t>Toiture inclinée</t>
  </si>
  <si>
    <t>Agriculteur</t>
  </si>
  <si>
    <t>S21</t>
  </si>
  <si>
    <t>BTA1200149</t>
  </si>
  <si>
    <t>9818700</t>
  </si>
  <si>
    <t>50095153915292</t>
  </si>
  <si>
    <t>BT</t>
  </si>
  <si>
    <t>EDF OA</t>
  </si>
  <si>
    <t>ENEDIS</t>
  </si>
  <si>
    <t>N°3 - Kyoto (SPV 10,13 &amp;14)</t>
  </si>
  <si>
    <t>Mot de passe onduleur : 0000000a</t>
  </si>
  <si>
    <t>EIFFAGE</t>
  </si>
  <si>
    <t>THOMAS CHEVRIER</t>
  </si>
  <si>
    <t>gaecdallonzy@laposte.net</t>
  </si>
  <si>
    <t>+33619062549</t>
  </si>
  <si>
    <t>VOLTISSIMA</t>
  </si>
  <si>
    <t>CANCE</t>
  </si>
  <si>
    <t/>
  </si>
  <si>
    <t>Yasser BADREZZAMANE</t>
  </si>
  <si>
    <t>Johan LAGARDE</t>
  </si>
  <si>
    <t>Ibtissam ABSSI</t>
  </si>
  <si>
    <t>Sébastien GUYOUX</t>
  </si>
  <si>
    <t>MTN-CONT-004-Contrat_EIFFAGE_maintenance_PV_BT-001</t>
  </si>
  <si>
    <t>DEV-CONT-SPV010-Contrat_DEV_EPC_DAVAI_ENR-1</t>
  </si>
  <si>
    <t>EX-CONT-SPV010-Contrat_Suivi_O&amp;M_Gestion_Actifs_DAVAI_ENR-1</t>
  </si>
  <si>
    <t>Stockage matériel + fourrage</t>
  </si>
  <si>
    <t>Élément </t>
  </si>
  <si>
    <t>sites/ServiceOM-AssetManagement/Lists/Exploitation Data Centrale</t>
  </si>
  <si>
    <t>LATREILLE</t>
  </si>
  <si>
    <t>DAVAI ENRSPV14</t>
  </si>
  <si>
    <t>Vaurs</t>
  </si>
  <si>
    <t>19430</t>
  </si>
  <si>
    <t>Sexcles</t>
  </si>
  <si>
    <t>BE</t>
  </si>
  <si>
    <t>BTA1110971</t>
  </si>
  <si>
    <t>9255850</t>
  </si>
  <si>
    <t>50031335405373</t>
  </si>
  <si>
    <t>RAS</t>
  </si>
  <si>
    <t>Didier LATREILLE</t>
  </si>
  <si>
    <t>didierlatreille0263@orange.fr</t>
  </si>
  <si>
    <t>+33682109080</t>
  </si>
  <si>
    <t>3C INSTAL</t>
  </si>
  <si>
    <t>BIOTECK</t>
  </si>
  <si>
    <t>Parfait MEZEME ONA</t>
  </si>
  <si>
    <t>Martin DE GUERRE</t>
  </si>
  <si>
    <t>Alexandre COL</t>
  </si>
  <si>
    <t>DEV-CONT-SPV014_Contrat_DEV_EPC_DAVAI_ENR-1 (signed) (1)</t>
  </si>
  <si>
    <t>EX-CONT-SPV014-Contrat_Suivi_OM_Gestion_Actifs_DAVAI -ENR-01 (1)</t>
  </si>
  <si>
    <t>stabulation et stockage</t>
  </si>
  <si>
    <t>GARRELOU</t>
  </si>
  <si>
    <t>Les Trieux</t>
  </si>
  <si>
    <t>19220</t>
  </si>
  <si>
    <t>Bassignac-le-Haut</t>
  </si>
  <si>
    <t>BTA1160782</t>
  </si>
  <si>
    <t>9292350</t>
  </si>
  <si>
    <t>50004127237174</t>
  </si>
  <si>
    <t>Romain Garrelou</t>
  </si>
  <si>
    <t>romain.garrelou@hotmail.com</t>
  </si>
  <si>
    <t>+33 6 37 24 67 62</t>
  </si>
  <si>
    <t>ACC</t>
  </si>
  <si>
    <t>Stabulation + Stockage Fourrage</t>
  </si>
  <si>
    <t>LANNES</t>
  </si>
  <si>
    <t>GIRASPV16</t>
  </si>
  <si>
    <t>Lieu-dit Mamour</t>
  </si>
  <si>
    <t>11270</t>
  </si>
  <si>
    <t>La Cassaigne</t>
  </si>
  <si>
    <t>BTA1269517</t>
  </si>
  <si>
    <t>9622450</t>
  </si>
  <si>
    <t>50018307634341</t>
  </si>
  <si>
    <t>N°4</t>
  </si>
  <si>
    <t>Quentin LANNES</t>
  </si>
  <si>
    <t>earlbds@gmail.com</t>
  </si>
  <si>
    <t>+33630546473</t>
  </si>
  <si>
    <t>MOMSTEEL</t>
  </si>
  <si>
    <t>Charbel BOUZERDAN</t>
  </si>
  <si>
    <t>Gabriel AYMA</t>
  </si>
  <si>
    <t>DEV-CONT-SPV016_Contrat_DEV_EPC_DAVAI_ENR-1</t>
  </si>
  <si>
    <t>EX-CONT-SPV016-Contrat_Suivi_OM_Gestion_Actifs_DAVAI -ENR-01</t>
  </si>
  <si>
    <t>Stockage matériels et légumes</t>
  </si>
  <si>
    <t>ESCOULA</t>
  </si>
  <si>
    <t>Trouley</t>
  </si>
  <si>
    <t>65140</t>
  </si>
  <si>
    <t>Trouley-Labarthe</t>
  </si>
  <si>
    <t>BTA1204745|BTA1204781</t>
  </si>
  <si>
    <t>9683200|9702850</t>
  </si>
  <si>
    <t xml:space="preserve"> 50018019831551|50010783941577</t>
  </si>
  <si>
    <t>Thierry ESCOULA</t>
  </si>
  <si>
    <t>thierry.escoula1@orange.fr</t>
  </si>
  <si>
    <t>+33678642764</t>
  </si>
  <si>
    <t>ACROM</t>
  </si>
  <si>
    <t>GIRAUD</t>
  </si>
  <si>
    <t>Gwendal HART</t>
  </si>
  <si>
    <t>Victor REVUELTA</t>
  </si>
  <si>
    <t>Ovins, Bovins, matériel et fourrage</t>
  </si>
  <si>
    <t>CONSOLI</t>
  </si>
  <si>
    <t>DAVAI ENRSPV13</t>
  </si>
  <si>
    <t>Rte de l'Escauderie</t>
  </si>
  <si>
    <t>24130</t>
  </si>
  <si>
    <t>Prigonrieux</t>
  </si>
  <si>
    <t>BTA1141881</t>
  </si>
  <si>
    <t>8961150</t>
  </si>
  <si>
    <t>50060857585907</t>
  </si>
  <si>
    <t>consoli.et.fils@wanadoo.fr</t>
  </si>
  <si>
    <t>+33689273405</t>
  </si>
  <si>
    <t>DEV-CONT-SPV013-Contrat_DEV_EPC_DAVAI_ENR-1</t>
  </si>
  <si>
    <t>EX-CONT-SPV013-Contrat_Suivi_OM_Gestion_Actifs_DAVAI -ENR-01</t>
  </si>
  <si>
    <t>Stockage de camions + stockage de matériel</t>
  </si>
  <si>
    <t>BAILLY</t>
  </si>
  <si>
    <t>La Cave</t>
  </si>
  <si>
    <t>03230</t>
  </si>
  <si>
    <t>Garnat-sur-Engièvre</t>
  </si>
  <si>
    <t>BTA1038999 | BTA1038997</t>
  </si>
  <si>
    <t>9124750 | 9085000</t>
  </si>
  <si>
    <t>50048702663389 | 50063174443341</t>
  </si>
  <si>
    <t>Mot de passe onduleur : Exploitation2023</t>
  </si>
  <si>
    <t>Matthieu BAILLY</t>
  </si>
  <si>
    <t>mouss.bailly@wanadoo.fr</t>
  </si>
  <si>
    <t>+33672402650</t>
  </si>
  <si>
    <t>+33248721293</t>
  </si>
  <si>
    <t>CRAI + EMCB</t>
  </si>
  <si>
    <t>Nicolas PETROPAVLOVSKY</t>
  </si>
  <si>
    <t>Stockage matériel (44%), fourrage de paille (44%), animaux (12%)</t>
  </si>
  <si>
    <t>GROS</t>
  </si>
  <si>
    <t>GIRASPV17</t>
  </si>
  <si>
    <t>1892 Chem. des Brugues</t>
  </si>
  <si>
    <t>82370</t>
  </si>
  <si>
    <t>Nohic</t>
  </si>
  <si>
    <t>BTA1163927</t>
  </si>
  <si>
    <t>9669500</t>
  </si>
  <si>
    <t>50094286186899</t>
  </si>
  <si>
    <t>Véronique GROS</t>
  </si>
  <si>
    <t>marc.blavette@wanadoo.fr</t>
  </si>
  <si>
    <t>+33603293138</t>
  </si>
  <si>
    <t>Non indiqué</t>
  </si>
  <si>
    <t>Nicolas CADENE</t>
  </si>
  <si>
    <t>DEV-CONT-SPV017_Contrat_DEV_EPC_DAVAI_ENR-1</t>
  </si>
  <si>
    <t>EX-CONT-SPV017-Contrat_Suivi_OM_Gestion_Actifs_DAVAI -ENR-01</t>
  </si>
  <si>
    <t>Rond de Ionge + boxes à chevaux/Stockage de matériel/Stockage de paille, foin et fourrage</t>
  </si>
  <si>
    <t>CLEMENT</t>
  </si>
  <si>
    <t>6 Gouterouch</t>
  </si>
  <si>
    <t>31160</t>
  </si>
  <si>
    <t>Estadens</t>
  </si>
  <si>
    <t>BTA1144036</t>
  </si>
  <si>
    <t>9881650</t>
  </si>
  <si>
    <t>50092984346706</t>
  </si>
  <si>
    <t xml:space="preserve"> Yannick CLEMENT</t>
  </si>
  <si>
    <t>clement.yannick31@gmail.com</t>
  </si>
  <si>
    <t>+33610332718</t>
  </si>
  <si>
    <t xml:space="preserve">Stabulation </t>
  </si>
  <si>
    <t>TOUCHAIS</t>
  </si>
  <si>
    <t>3 Joffre</t>
  </si>
  <si>
    <t>33580</t>
  </si>
  <si>
    <t>Le Puy</t>
  </si>
  <si>
    <t>BTA1209116</t>
  </si>
  <si>
    <t>9030700</t>
  </si>
  <si>
    <t>50055501601691</t>
  </si>
  <si>
    <t>Benoit TOUCHAIS</t>
  </si>
  <si>
    <t>elevage.touchais33@gmail.com</t>
  </si>
  <si>
    <t>+33674642000</t>
  </si>
  <si>
    <t>Stockage de matériel agricole + fourrage + céréales</t>
  </si>
  <si>
    <t>BTA1209125|BTA1208955</t>
  </si>
  <si>
    <t>8895850|8895950</t>
  </si>
  <si>
    <t>50054199141585|50019322151607</t>
  </si>
  <si>
    <t>Stabulation, stockage de matériel, stockage de céréales et stockage de fourrage + Laiterie</t>
  </si>
  <si>
    <t>GAILLARD</t>
  </si>
  <si>
    <t>Le Ménial</t>
  </si>
  <si>
    <t>43170</t>
  </si>
  <si>
    <t>Venteuges</t>
  </si>
  <si>
    <t>BTA1033678|</t>
  </si>
  <si>
    <t>8534450|8532950</t>
  </si>
  <si>
    <t>50079383380103|50072147490146</t>
  </si>
  <si>
    <t>Franck GAILLARD</t>
  </si>
  <si>
    <t>franckgaillard43@orange.fr</t>
  </si>
  <si>
    <t>+33608672385</t>
  </si>
  <si>
    <t>+33608672384</t>
  </si>
  <si>
    <t>Stéphane Vialettes</t>
  </si>
  <si>
    <t>Stabulation</t>
  </si>
  <si>
    <t>ROQUEFORT</t>
  </si>
  <si>
    <t>Le Coustalou</t>
  </si>
  <si>
    <t>12300</t>
  </si>
  <si>
    <t>Livinhac-le-Haut</t>
  </si>
  <si>
    <t>BTA1112191</t>
  </si>
  <si>
    <t>9610550</t>
  </si>
  <si>
    <t>50030177229112</t>
  </si>
  <si>
    <t>Cédric ROQUEFORT</t>
  </si>
  <si>
    <t>cedric.roquefort@orange.fr</t>
  </si>
  <si>
    <t>06 72 89 77 57</t>
  </si>
  <si>
    <t>YAMA ENERGIES</t>
  </si>
  <si>
    <t>Fixe Indexé</t>
  </si>
  <si>
    <t>Annuelle</t>
  </si>
  <si>
    <t>fixe</t>
  </si>
  <si>
    <t>Stabulation et stockage</t>
  </si>
  <si>
    <t>MORELLO</t>
  </si>
  <si>
    <t>DAVAI ENRSPV12</t>
  </si>
  <si>
    <t>Mas Thibert</t>
  </si>
  <si>
    <t>13104</t>
  </si>
  <si>
    <t>Arles</t>
  </si>
  <si>
    <t>BaC;#BE</t>
  </si>
  <si>
    <t>BTA0981875</t>
  </si>
  <si>
    <t>8006450</t>
  </si>
  <si>
    <t>50019619044477</t>
  </si>
  <si>
    <t>N°2 - Finergreen - Construction 2023</t>
  </si>
  <si>
    <t>2 Bâtiments
BAC + BE</t>
  </si>
  <si>
    <t>Anna MORELLO</t>
  </si>
  <si>
    <t>anna.marello@hotmail.fr</t>
  </si>
  <si>
    <t>+33621844296</t>
  </si>
  <si>
    <t>+393339690030</t>
  </si>
  <si>
    <t>Hilal KAAOUANA</t>
  </si>
  <si>
    <t>DEV-CONT-SPV012-Contrat_DEV_EPC_DAVAI_ENR-1</t>
  </si>
  <si>
    <t>EX-CONT-SPV012-Contrat_Suivi_O&amp;M_Gestion_Actifs_DAVAI_ENR-1</t>
  </si>
  <si>
    <t>stockage de matériel/foin et fourrage</t>
  </si>
  <si>
    <t>GAUDON</t>
  </si>
  <si>
    <t>La Garenne</t>
  </si>
  <si>
    <t>03500</t>
  </si>
  <si>
    <t>Meillard</t>
  </si>
  <si>
    <t>BTA0957900 | BTA</t>
  </si>
  <si>
    <t>8683600 | 9010700</t>
  </si>
  <si>
    <t>50074030875808 | 50088502655851</t>
  </si>
  <si>
    <t>DAMIEN GAUDON</t>
  </si>
  <si>
    <t>gaudon.damien@gmail.com</t>
  </si>
  <si>
    <t>+33625052624</t>
  </si>
  <si>
    <t>stockage de matériel/stabulation/foin et fourrage</t>
  </si>
  <si>
    <t>CORREDERA</t>
  </si>
  <si>
    <t>89 Route Serre d'Odun</t>
  </si>
  <si>
    <t>31420</t>
  </si>
  <si>
    <t>Cassagnabère-Tournas</t>
  </si>
  <si>
    <t>BTA1021666</t>
  </si>
  <si>
    <t>9403500</t>
  </si>
  <si>
    <t>50090238172678</t>
  </si>
  <si>
    <t>Richard CORREDERA</t>
  </si>
  <si>
    <t>richard.corredera@rc-trans.com</t>
  </si>
  <si>
    <t>0622657255</t>
  </si>
  <si>
    <t>SO</t>
  </si>
  <si>
    <t>Stockage matériel agricole</t>
  </si>
  <si>
    <t>CHARTRAIN</t>
  </si>
  <si>
    <t>GIRASPV15</t>
  </si>
  <si>
    <t>La Touche</t>
  </si>
  <si>
    <t>72330</t>
  </si>
  <si>
    <t>Oizé</t>
  </si>
  <si>
    <t>BTA1200960</t>
  </si>
  <si>
    <t>9657300</t>
  </si>
  <si>
    <t>50005284403392</t>
  </si>
  <si>
    <t>N°3 - Fuji (SPV 11&amp;15)</t>
  </si>
  <si>
    <t>Florian CHARTRAIN</t>
  </si>
  <si>
    <t>lapetiteboulas@orange.fr</t>
  </si>
  <si>
    <t>+33658126588</t>
  </si>
  <si>
    <t>BARBOT</t>
  </si>
  <si>
    <t>Loïc GUILLEUX</t>
  </si>
  <si>
    <t>DEV-CONT-SPV015_Contrat_DEV_EPC_DAVAI_ENR-1 (signed) (1)</t>
  </si>
  <si>
    <t>EX-CONT-SPV015-Contrat_Suivi_OM_Gestion_Actifs_DAVAI -ENR-01</t>
  </si>
  <si>
    <t>Stockage matériel, fourrage et paille</t>
  </si>
  <si>
    <t>BOUILLET</t>
  </si>
  <si>
    <t>Les Quatre Vents</t>
  </si>
  <si>
    <t>03470</t>
  </si>
  <si>
    <t>Saligny-sur-Roudon</t>
  </si>
  <si>
    <t>BTA0962241 | BTA0961960</t>
  </si>
  <si>
    <t>9086750 | 9250450</t>
  </si>
  <si>
    <t>50001672415830 | 50087200635771</t>
  </si>
  <si>
    <t>FABRICE BOUILLET</t>
  </si>
  <si>
    <t>fabrice.bouillet70@gmail.com</t>
  </si>
  <si>
    <t>+33676318305</t>
  </si>
  <si>
    <t>GUENIOT</t>
  </si>
  <si>
    <t>ZA Volzac</t>
  </si>
  <si>
    <t>15100</t>
  </si>
  <si>
    <t>Saint-Flour</t>
  </si>
  <si>
    <t>Tertiaire</t>
  </si>
  <si>
    <t>BTA1189363</t>
  </si>
  <si>
    <t>9841150</t>
  </si>
  <si>
    <t>50002534214233</t>
  </si>
  <si>
    <t>Patrice GUENIOT</t>
  </si>
  <si>
    <t>p.gueniot@gmail.com</t>
  </si>
  <si>
    <t>+33682515030</t>
  </si>
  <si>
    <t>+33630237363</t>
  </si>
  <si>
    <t>Contrat OM PV toiture - ENERLIS - V10 18.11.2020 exécuté</t>
  </si>
  <si>
    <t>Siège de l’entreprise, stockage de matériaux de TP, de matériaux et de véhicules</t>
  </si>
  <si>
    <t>TURROU</t>
  </si>
  <si>
    <t>Les Campespieux</t>
  </si>
  <si>
    <t>65380</t>
  </si>
  <si>
    <t>Bénac</t>
  </si>
  <si>
    <t>BTA1202102 | BTA1202304</t>
  </si>
  <si>
    <t>9647750 | 9648250</t>
  </si>
  <si>
    <t>50058684362448 | 50009769744265</t>
  </si>
  <si>
    <t>Lorraine TURROU</t>
  </si>
  <si>
    <t>etrierdebigorre@outlook.fr</t>
  </si>
  <si>
    <t>+33485880404</t>
  </si>
  <si>
    <t>+33665671903</t>
  </si>
  <si>
    <t>Manège équestre, Stockage matériel + fourrage</t>
  </si>
  <si>
    <t>DELLA LIBERA CARBONNIERES</t>
  </si>
  <si>
    <t>Carbonnières</t>
  </si>
  <si>
    <t>47800</t>
  </si>
  <si>
    <t>Lavergne</t>
  </si>
  <si>
    <t>Toiture plate</t>
  </si>
  <si>
    <t>BTA1136662</t>
  </si>
  <si>
    <t>9550800</t>
  </si>
  <si>
    <t>50001522816933</t>
  </si>
  <si>
    <t>Mickael DELLA LIBERA</t>
  </si>
  <si>
    <t>della-libera.mickael@orange.fr</t>
  </si>
  <si>
    <t>+33679213316</t>
  </si>
  <si>
    <t>Stockage matériel, fourrage et stabulation</t>
  </si>
  <si>
    <t>DELLA LIBERA FRAYSSE</t>
  </si>
  <si>
    <t>FRAYSSE</t>
  </si>
  <si>
    <t>BTA1136591</t>
  </si>
  <si>
    <t>9142500</t>
  </si>
  <si>
    <t>50094286926814</t>
  </si>
  <si>
    <t>Stockage matériel et fourrage</t>
  </si>
  <si>
    <t>ROUSSEAU</t>
  </si>
  <si>
    <t>Pièce du Moulin</t>
  </si>
  <si>
    <t>44540</t>
  </si>
  <si>
    <t>VALLONS-DE-L' ERDRE</t>
  </si>
  <si>
    <t>BTA1089522</t>
  </si>
  <si>
    <t>9471850</t>
  </si>
  <si>
    <t>50030323043093</t>
  </si>
  <si>
    <t>ROUSSEAU Clément</t>
  </si>
  <si>
    <t>clement.rousseau44540@outlook.fr</t>
  </si>
  <si>
    <t>+33666200742</t>
  </si>
  <si>
    <t>REGISOLAIR</t>
  </si>
  <si>
    <t xml:space="preserve">Stockage matériel, céréales, paille, foin limité à 50% de la surface au sol du bâtiment. </t>
  </si>
  <si>
    <t>SCI LE CORMIER</t>
  </si>
  <si>
    <t>Rue Charles Messier</t>
  </si>
  <si>
    <t>49300</t>
  </si>
  <si>
    <t>Cholet</t>
  </si>
  <si>
    <t>Industrie</t>
  </si>
  <si>
    <t>BTA1202118</t>
  </si>
  <si>
    <t>9855150</t>
  </si>
  <si>
    <t>50005429137222</t>
  </si>
  <si>
    <t>Mot de passe onduleur : Exploitation2023
L'accès au bâtiment peut se faire sans passage de portail et via une échelle à crinoline</t>
  </si>
  <si>
    <t>Julien HUMEAU</t>
  </si>
  <si>
    <t>jhumeau@oxygen-sarl.fr</t>
  </si>
  <si>
    <t>+33622481509</t>
  </si>
  <si>
    <t>MASSE Charpentier</t>
  </si>
  <si>
    <t>En une fois</t>
  </si>
  <si>
    <t>Artisanat</t>
  </si>
  <si>
    <t>CANTALOUBE</t>
  </si>
  <si>
    <t>La Soudairie</t>
  </si>
  <si>
    <t>44850</t>
  </si>
  <si>
    <t>Ligné</t>
  </si>
  <si>
    <t>BTA1196117 | BTA1196086</t>
  </si>
  <si>
    <t>9209500 | 9212050</t>
  </si>
  <si>
    <t>50068960419348 | 50065631909632</t>
  </si>
  <si>
    <t>Mot de passe onduleur: Exploitation2023</t>
  </si>
  <si>
    <t>Mathieu CANTALOUBE</t>
  </si>
  <si>
    <t>mathcanta@orange.fr</t>
  </si>
  <si>
    <t>+33660119398</t>
  </si>
  <si>
    <t>+33164346262</t>
  </si>
  <si>
    <t>Stockage matériel, stockage paille, foin et fourrage dans la limite de 50%</t>
  </si>
  <si>
    <t>GAEC DE PASSAY</t>
  </si>
  <si>
    <t>DAVAI ENRSPV11</t>
  </si>
  <si>
    <t>Le Passay</t>
  </si>
  <si>
    <t>72460</t>
  </si>
  <si>
    <t>Sillé-le-Philippe</t>
  </si>
  <si>
    <t>BTA1042636</t>
  </si>
  <si>
    <t>9718400</t>
  </si>
  <si>
    <t>50019904987275</t>
  </si>
  <si>
    <t>DAVID BOURDIN</t>
  </si>
  <si>
    <t>gaecdepassay@orange.fr</t>
  </si>
  <si>
    <t>+33620044552</t>
  </si>
  <si>
    <t>DEV-CONT-SPV011-Contrat_DEV_EPC_DAVAI_ENR-1</t>
  </si>
  <si>
    <t>EX-CONT-SPV011-Contrat_Suivi_O&amp;M_Gestion_Actifs_DAVAI_ENR-1</t>
  </si>
  <si>
    <t>Stockage de matériel, céréales à plat pour l’élevage des porcs et fourrages (paille et foin).</t>
  </si>
  <si>
    <t>DALGRANDE</t>
  </si>
  <si>
    <t>190 Impasse des Peyrouliers</t>
  </si>
  <si>
    <t>31620</t>
  </si>
  <si>
    <t>Fronton</t>
  </si>
  <si>
    <t>BTA1208134</t>
  </si>
  <si>
    <t>9526350</t>
  </si>
  <si>
    <t>50017875447671</t>
  </si>
  <si>
    <t>Communication KO (Onduleurs KACO)</t>
  </si>
  <si>
    <t>Julien DALGRANDE</t>
  </si>
  <si>
    <t>julien.dalgrande@live.fr</t>
  </si>
  <si>
    <t>+33676197227</t>
  </si>
  <si>
    <t>Stockage de fourrage et de matériel</t>
  </si>
  <si>
    <t>MAGNON</t>
  </si>
  <si>
    <t>6 Jupille</t>
  </si>
  <si>
    <t>23000</t>
  </si>
  <si>
    <t>Anzême</t>
  </si>
  <si>
    <t>BTA1017643</t>
  </si>
  <si>
    <t>9119550</t>
  </si>
  <si>
    <t>50041322984460</t>
  </si>
  <si>
    <t>Mot de passe onduleur : Exploitation2023
2 Bâtiments</t>
  </si>
  <si>
    <t>Pierre MAGNON</t>
  </si>
  <si>
    <t>olivier.magnon@free.fr</t>
  </si>
  <si>
    <t>+33684395516</t>
  </si>
  <si>
    <t>+33326592203</t>
  </si>
  <si>
    <t>Stabulation (100%)</t>
  </si>
  <si>
    <t>SAVARD</t>
  </si>
  <si>
    <t>Avènes</t>
  </si>
  <si>
    <t>48150</t>
  </si>
  <si>
    <t>Meyrueis</t>
  </si>
  <si>
    <t>BTA1095627</t>
  </si>
  <si>
    <t>9446500</t>
  </si>
  <si>
    <t>50098774377768</t>
  </si>
  <si>
    <t>Ombrage lors de la MES</t>
  </si>
  <si>
    <t>Christian SAVARD</t>
  </si>
  <si>
    <t>chrs.savard@gmail.com</t>
  </si>
  <si>
    <t>+33665161349</t>
  </si>
  <si>
    <t>Manège et stockage</t>
  </si>
  <si>
    <t>EARL LES ECURIES D'AIROLLE - VALLAT</t>
  </si>
  <si>
    <t>2095 Rte des Faures</t>
  </si>
  <si>
    <t>26300</t>
  </si>
  <si>
    <t>Alixan</t>
  </si>
  <si>
    <t>BTA1176895</t>
  </si>
  <si>
    <t>9609700</t>
  </si>
  <si>
    <t>50072434357920</t>
  </si>
  <si>
    <t>Frédéric VALLAT</t>
  </si>
  <si>
    <t>frederic-vallat@sfr.fr</t>
  </si>
  <si>
    <t>+33625819455</t>
  </si>
  <si>
    <t>+33475367462</t>
  </si>
  <si>
    <t>ADS</t>
  </si>
  <si>
    <t>Sophie ROGIER</t>
  </si>
  <si>
    <t>Carrière couverte + stockage matériel et fourrage</t>
  </si>
  <si>
    <t>OLIVARES - ECURIE DAME DE COEUR</t>
  </si>
  <si>
    <t>LA MATHE NORD</t>
  </si>
  <si>
    <t>11700</t>
  </si>
  <si>
    <t>Pépieux</t>
  </si>
  <si>
    <t>BTA1313148</t>
  </si>
  <si>
    <t>9627400</t>
  </si>
  <si>
    <t>50072721245761</t>
  </si>
  <si>
    <t>Anais OLIVARES</t>
  </si>
  <si>
    <t>anais_o@msn.com</t>
  </si>
  <si>
    <t>+33626323768</t>
  </si>
  <si>
    <t>Maxime DENIAU</t>
  </si>
  <si>
    <t>Manège équestre</t>
  </si>
  <si>
    <t>BAYLE</t>
  </si>
  <si>
    <t>Le Château Lagoual</t>
  </si>
  <si>
    <t>11400</t>
  </si>
  <si>
    <t>Lasbordes</t>
  </si>
  <si>
    <t>BTA1189250</t>
  </si>
  <si>
    <t>9637900</t>
  </si>
  <si>
    <t>50098048833238</t>
  </si>
  <si>
    <t>Maxime BAYLE</t>
  </si>
  <si>
    <t>baylemaxime2305@gmail.com</t>
  </si>
  <si>
    <t>+33622514060</t>
  </si>
  <si>
    <t>Stockage matériel (50%), Stockage céréales (50%)</t>
  </si>
  <si>
    <t>POMAS</t>
  </si>
  <si>
    <t>Pech Laroque</t>
  </si>
  <si>
    <t>11250</t>
  </si>
  <si>
    <t>Pomas</t>
  </si>
  <si>
    <t>Collectivités</t>
  </si>
  <si>
    <t>BTA1202985</t>
  </si>
  <si>
    <t>9246350</t>
  </si>
  <si>
    <t>50042042293948</t>
  </si>
  <si>
    <t>Commune de Pomas</t>
  </si>
  <si>
    <t>mairiepomas@mairie-pomas.fr</t>
  </si>
  <si>
    <t>+33 4 68 69 42 67</t>
  </si>
  <si>
    <t>06 85 54 20 16</t>
  </si>
  <si>
    <t>Boulodrome + dépôt communal + Box à la location</t>
  </si>
  <si>
    <t>MICOULEAU</t>
  </si>
  <si>
    <t>Lascombes</t>
  </si>
  <si>
    <t>11170</t>
  </si>
  <si>
    <t>Alzonne</t>
  </si>
  <si>
    <t>BTA1098789</t>
  </si>
  <si>
    <t>9108300</t>
  </si>
  <si>
    <t>50072869634698</t>
  </si>
  <si>
    <t>Norbert MICOULEAU</t>
  </si>
  <si>
    <t>norbert.micouleau@wanadoo.fr</t>
  </si>
  <si>
    <t>+33685485237</t>
  </si>
  <si>
    <t>Vincent KEZADRI</t>
  </si>
  <si>
    <t>Stockage de matériel, de céréales</t>
  </si>
  <si>
    <t>CAVANHAC</t>
  </si>
  <si>
    <t>515 Route de Monberon</t>
  </si>
  <si>
    <t>Varennes</t>
  </si>
  <si>
    <t>BTA1101470</t>
  </si>
  <si>
    <t>8962750</t>
  </si>
  <si>
    <t>50062304944999</t>
  </si>
  <si>
    <t>Eric CAVANHAC</t>
  </si>
  <si>
    <t>cavanhace@wanadoo.fr</t>
  </si>
  <si>
    <t>+33635340590</t>
  </si>
  <si>
    <t>Charlie BLAIZEAU</t>
  </si>
  <si>
    <t>Stockage de matériel, engrais (max 50 big bag), sacs de semence, paille (maxi 750m3), petit atelier</t>
  </si>
  <si>
    <t>LABEAUVIE</t>
  </si>
  <si>
    <t>Gouny</t>
  </si>
  <si>
    <t>47350</t>
  </si>
  <si>
    <t>Escassefort</t>
  </si>
  <si>
    <t>BTA1202493</t>
  </si>
  <si>
    <t>9141250</t>
  </si>
  <si>
    <t>50090089248752</t>
  </si>
  <si>
    <t>Laurent LABEAUVIE</t>
  </si>
  <si>
    <t>elg47@orange.fr</t>
  </si>
  <si>
    <t>06 74 45 39 07</t>
  </si>
  <si>
    <t>Stockage matériel, fourrage</t>
  </si>
  <si>
    <t>BOURGEOIS</t>
  </si>
  <si>
    <t>Champ de l'Annerie</t>
  </si>
  <si>
    <t>44522</t>
  </si>
  <si>
    <t>MESANGER</t>
  </si>
  <si>
    <t>BTA1139364</t>
  </si>
  <si>
    <t>9365400</t>
  </si>
  <si>
    <t>50085894155690</t>
  </si>
  <si>
    <t>Hervé Bourgeois</t>
  </si>
  <si>
    <t>herve.bourgeois413@orange.fr</t>
  </si>
  <si>
    <t>0609116376</t>
  </si>
  <si>
    <t>0648229179</t>
  </si>
  <si>
    <t>Stockage de fourrage 50% et stockage matériel 50%</t>
  </si>
  <si>
    <t>RIVIERE</t>
  </si>
  <si>
    <t>Enchanet</t>
  </si>
  <si>
    <t>15700</t>
  </si>
  <si>
    <t>Pleaux</t>
  </si>
  <si>
    <t>BTA1105919</t>
  </si>
  <si>
    <t>9275350</t>
  </si>
  <si>
    <t>50064619602367</t>
  </si>
  <si>
    <t>Christian RIVIERE</t>
  </si>
  <si>
    <t>rucherdenchanet@orange.fr</t>
  </si>
  <si>
    <t>+33673400780</t>
  </si>
  <si>
    <t>Stockage matériel, stockage paille, foin et fourrage, ruches et bois dans la limite de 50%</t>
  </si>
  <si>
    <t>Lieu dit Ponson</t>
  </si>
  <si>
    <t>07800</t>
  </si>
  <si>
    <t>La Voulte-sur-Rhône</t>
  </si>
  <si>
    <t>BTA1212567</t>
  </si>
  <si>
    <t>9590800</t>
  </si>
  <si>
    <t>50040884577780</t>
  </si>
  <si>
    <t>Cyrille FROMENT</t>
  </si>
  <si>
    <t>cyril.froment07@gmail.com</t>
  </si>
  <si>
    <t>+33609395304</t>
  </si>
  <si>
    <t>KILJOR</t>
  </si>
  <si>
    <t>4 Grand Rue</t>
  </si>
  <si>
    <t>BEAUCHASTEL</t>
  </si>
  <si>
    <t>530643675</t>
  </si>
  <si>
    <t>stockage et stationnement d’engins</t>
  </si>
  <si>
    <t>GAEC ROCHE THOREAU</t>
  </si>
  <si>
    <t>Saint-Laurent-des-Mortiers, Lieu dit la Roche Thoreau</t>
  </si>
  <si>
    <t>53290</t>
  </si>
  <si>
    <t>Bierné-les-Villages</t>
  </si>
  <si>
    <t>BTA1044343</t>
  </si>
  <si>
    <t>9069450</t>
  </si>
  <si>
    <t>50013536615650</t>
  </si>
  <si>
    <t>Emmanuel NEUVILLE</t>
  </si>
  <si>
    <t>roche-thoreau@orange.fr</t>
  </si>
  <si>
    <t>+33681521888</t>
  </si>
  <si>
    <t>+33689422133</t>
  </si>
  <si>
    <t>Stockage matériel (35%), fourrage (45%) et céréales (20%)</t>
  </si>
  <si>
    <t>VILLARD</t>
  </si>
  <si>
    <t>Garrigue de l'Asclade RD 83</t>
  </si>
  <si>
    <t>13310</t>
  </si>
  <si>
    <t>Saint-Martin-de-Crau</t>
  </si>
  <si>
    <t>BTA1012066</t>
  </si>
  <si>
    <t>9082850</t>
  </si>
  <si>
    <t>50013393606778</t>
  </si>
  <si>
    <t>Christophe VILLARD</t>
  </si>
  <si>
    <t>ecuriesdelasclade@orange.fr</t>
  </si>
  <si>
    <t>+33626808005</t>
  </si>
  <si>
    <t>+331628763040</t>
  </si>
  <si>
    <t>ROINE</t>
  </si>
  <si>
    <t>manège</t>
  </si>
  <si>
    <t>MALTAVERNE</t>
  </si>
  <si>
    <t>638 route Chard</t>
  </si>
  <si>
    <t>71320</t>
  </si>
  <si>
    <t>Sainte-Radegonde</t>
  </si>
  <si>
    <t>BTA1100644</t>
  </si>
  <si>
    <t>9812450</t>
  </si>
  <si>
    <t>50028442077361</t>
  </si>
  <si>
    <t>Serge MALTAVERNE</t>
  </si>
  <si>
    <t>maltaverne71320@gmail.com</t>
  </si>
  <si>
    <t>+33748122092</t>
  </si>
  <si>
    <t>WOLF</t>
  </si>
  <si>
    <t>Stabulation (70%), stockage de matériel, fourrage et céréales (30%)</t>
  </si>
  <si>
    <t>LACROIX</t>
  </si>
  <si>
    <t>La Choisière, La Mare Lunelle Roulée</t>
  </si>
  <si>
    <t>72600</t>
  </si>
  <si>
    <t>Villeneuve-en-Perseigne</t>
  </si>
  <si>
    <t>BTA1049177</t>
  </si>
  <si>
    <t>9037400</t>
  </si>
  <si>
    <t>50007024105104</t>
  </si>
  <si>
    <t>Olivier LACROIX</t>
  </si>
  <si>
    <t>zaboulili@orange.fr</t>
  </si>
  <si>
    <t>+33676047978</t>
  </si>
  <si>
    <t>+33479690236</t>
  </si>
  <si>
    <t>TRIANGLE</t>
  </si>
  <si>
    <t>stabulation, stockage matériel + fourrage.</t>
  </si>
  <si>
    <t>La Haute Bellangeraie</t>
  </si>
  <si>
    <t>44390</t>
  </si>
  <si>
    <t>Les Touches</t>
  </si>
  <si>
    <t>BTA1048685</t>
  </si>
  <si>
    <t>9081750</t>
  </si>
  <si>
    <t>50005867363958</t>
  </si>
  <si>
    <t>Mot de passe onduleur : Exploitaiton2023</t>
  </si>
  <si>
    <t>Jean-Marc VIEL</t>
  </si>
  <si>
    <t>Bailleur n'a pas d'email</t>
  </si>
  <si>
    <t>+33617582211</t>
  </si>
  <si>
    <t>+33240724321</t>
  </si>
  <si>
    <t>La Haute Bellangerais</t>
  </si>
  <si>
    <t>LOGNON</t>
  </si>
  <si>
    <t>Château des Millets</t>
  </si>
  <si>
    <t>Chevagnes</t>
  </si>
  <si>
    <t>BTA0949434</t>
  </si>
  <si>
    <t>9138350</t>
  </si>
  <si>
    <t>50060998814809</t>
  </si>
  <si>
    <t>Eric LOGNON</t>
  </si>
  <si>
    <t>alain.lognon@orange.fr</t>
  </si>
  <si>
    <t>+33610916907</t>
  </si>
  <si>
    <t>stabulation</t>
  </si>
  <si>
    <t>BTA0949433</t>
  </si>
  <si>
    <t>9129750</t>
  </si>
  <si>
    <t>50084016909949</t>
  </si>
  <si>
    <t>PRIEUR</t>
  </si>
  <si>
    <t>Franconnet</t>
  </si>
  <si>
    <t>26120</t>
  </si>
  <si>
    <t>Montmeyran</t>
  </si>
  <si>
    <t>BTA1097189 | BTA1096997</t>
  </si>
  <si>
    <t>9137850 | 9139050</t>
  </si>
  <si>
    <t>50008325850228 | 50057093344597</t>
  </si>
  <si>
    <t>Christian DIDIER</t>
  </si>
  <si>
    <t>krystine.didier26@gmail.com</t>
  </si>
  <si>
    <t>+33608125049</t>
  </si>
  <si>
    <t>Manège</t>
  </si>
  <si>
    <t>CHASSON</t>
  </si>
  <si>
    <t>525 Rue Jean Rostand</t>
  </si>
  <si>
    <t>26800</t>
  </si>
  <si>
    <t>Portes-lès-Valence</t>
  </si>
  <si>
    <t>BTA1209245 | BTA1203877</t>
  </si>
  <si>
    <t>9341700 | 9337100</t>
  </si>
  <si>
    <t>50062303719998 | 50011652489934</t>
  </si>
  <si>
    <t>Benjamin CHASSON</t>
  </si>
  <si>
    <t>francois.jallerat0038@orange.fr</t>
  </si>
  <si>
    <t>+33664620294</t>
  </si>
  <si>
    <t>ERT , stockage de marchandises véhicules produits et marchandises divers</t>
  </si>
  <si>
    <t>CHERAUD</t>
  </si>
  <si>
    <t>Bellevue</t>
  </si>
  <si>
    <t>44260</t>
  </si>
  <si>
    <t>Malville</t>
  </si>
  <si>
    <t>BTA1093289 | BTA1093282</t>
  </si>
  <si>
    <t>9058000 | 9094150</t>
  </si>
  <si>
    <t>50053767344853 | 50065634204653</t>
  </si>
  <si>
    <t>Pas de communication PDL1 → mise en réserve construction</t>
  </si>
  <si>
    <t>CHERAUD Nicolas</t>
  </si>
  <si>
    <t>nicolas.cheraud@orange.fr</t>
  </si>
  <si>
    <t>0668055111</t>
  </si>
  <si>
    <t>Stockage fourrage + stabulation</t>
  </si>
  <si>
    <t>LAMIOT</t>
  </si>
  <si>
    <t>La Gélopière</t>
  </si>
  <si>
    <t>42110</t>
  </si>
  <si>
    <t>Feurs</t>
  </si>
  <si>
    <t>BTA1085310</t>
  </si>
  <si>
    <t>8820650</t>
  </si>
  <si>
    <t>50035677987321</t>
  </si>
  <si>
    <t>SIMON LAMIOT</t>
  </si>
  <si>
    <t>lamiot.pro@gmail.com</t>
  </si>
  <si>
    <t>+33623883570</t>
  </si>
  <si>
    <t>+33630103634</t>
  </si>
  <si>
    <t>BOIS BELLOIR</t>
  </si>
  <si>
    <t>Le Château</t>
  </si>
  <si>
    <t>85190</t>
  </si>
  <si>
    <t>La Génétouze</t>
  </si>
  <si>
    <t>BTA1165477</t>
  </si>
  <si>
    <t>8755850</t>
  </si>
  <si>
    <t>50096313186405</t>
  </si>
  <si>
    <t>VALERIE HOUSET</t>
  </si>
  <si>
    <t>valdenormandie@outlook.fr</t>
  </si>
  <si>
    <t>+33682345960</t>
  </si>
  <si>
    <t>JAMES</t>
  </si>
  <si>
    <t>Manège equestre</t>
  </si>
  <si>
    <t>FERRAND</t>
  </si>
  <si>
    <t>DAVAI ENRSPV7</t>
  </si>
  <si>
    <t>Lieu Dit Rochereau</t>
  </si>
  <si>
    <t>33190</t>
  </si>
  <si>
    <t>Pondaurat</t>
  </si>
  <si>
    <t>BTA.33331.000006</t>
  </si>
  <si>
    <t>33331.000006</t>
  </si>
  <si>
    <t>85601939985904</t>
  </si>
  <si>
    <t>REGIE D’ELECTRICITE DU SYNDICAT DU SUD-DE-LA REOLE</t>
  </si>
  <si>
    <t>EMILIE FERRAND</t>
  </si>
  <si>
    <t>ecuriesdeginkgo@hotmail.fr</t>
  </si>
  <si>
    <t>+33630311451</t>
  </si>
  <si>
    <t>DEV-CONT-SPV007-Contrat_DEV_EPC_DAVAI_ENR-1</t>
  </si>
  <si>
    <t>EX-CONT-SPV007-Contrat_Suivi_O&amp;M_Gestion_Actifs_DAVAI_ENR-1</t>
  </si>
  <si>
    <t>Manège et boxes à chevaux. Stockage de paille, foin, fourrage.</t>
  </si>
  <si>
    <t>PLANTIER</t>
  </si>
  <si>
    <t>Hameau de Balaguier</t>
  </si>
  <si>
    <t>11230</t>
  </si>
  <si>
    <t>Corbières</t>
  </si>
  <si>
    <t>BTA1042669</t>
  </si>
  <si>
    <t>9194450</t>
  </si>
  <si>
    <t>50098920381644</t>
  </si>
  <si>
    <t>Céline Plantier</t>
  </si>
  <si>
    <t>plantier.celine@hotmail.fr</t>
  </si>
  <si>
    <t>+33 6 74 26 31 03</t>
  </si>
  <si>
    <t>+33 6 87 11 68 66</t>
  </si>
  <si>
    <t>PHILIPPON</t>
  </si>
  <si>
    <t>1740 Rte du Pouzin</t>
  </si>
  <si>
    <t>07210</t>
  </si>
  <si>
    <t>Baix</t>
  </si>
  <si>
    <t>BTA1045251 | BTA1045263</t>
  </si>
  <si>
    <t>9563750 | 9564700</t>
  </si>
  <si>
    <t>50022219904640 | 50019614984445</t>
  </si>
  <si>
    <t>Jérôme PHILIPPON</t>
  </si>
  <si>
    <t>jerome.philippon3@wanadoo.fr</t>
  </si>
  <si>
    <t>+33677884361</t>
  </si>
  <si>
    <t>Thibault RAHMOUNI</t>
  </si>
  <si>
    <t>Stockage matériel et productions fruitières -conditionnement -calibrage et chambres froides</t>
  </si>
  <si>
    <t>BARASSIN</t>
  </si>
  <si>
    <t>DAVAI ENRSPV8</t>
  </si>
  <si>
    <t>414 Route de Caen, Le Lieu Allais</t>
  </si>
  <si>
    <t>14130</t>
  </si>
  <si>
    <t>Clarbec</t>
  </si>
  <si>
    <t>BTA1006713</t>
  </si>
  <si>
    <t>8317600</t>
  </si>
  <si>
    <t>50071425315635</t>
  </si>
  <si>
    <t>Philippe BARASSIN</t>
  </si>
  <si>
    <t>sophie.du14@hotmail.fr</t>
  </si>
  <si>
    <t>+33673239787</t>
  </si>
  <si>
    <t>Kalil KRIFA</t>
  </si>
  <si>
    <t>DEV-CONT-SPV008-Contrat_DEV_EPC_DAVAI_ENR-1</t>
  </si>
  <si>
    <t>EX-CONT-SPV008-Contrat_Suivi_O&amp;M_Gestion_Actifs_DAVAI_ENR-1</t>
  </si>
  <si>
    <t>Stockage et boxes</t>
  </si>
  <si>
    <t>FRAGNON</t>
  </si>
  <si>
    <t>Lieu-dit les Passets</t>
  </si>
  <si>
    <t>03160</t>
  </si>
  <si>
    <t>Franchesse</t>
  </si>
  <si>
    <t>BTA1087742</t>
  </si>
  <si>
    <t>9224200</t>
  </si>
  <si>
    <t>50059265338008</t>
  </si>
  <si>
    <t>Christophe FRAGNON</t>
  </si>
  <si>
    <t>c.chfragnon@orange.fr</t>
  </si>
  <si>
    <t>+33680256111</t>
  </si>
  <si>
    <t>+33680202796</t>
  </si>
  <si>
    <t>BLANCHET</t>
  </si>
  <si>
    <t>Route de Vinsobres, Les Esclis</t>
  </si>
  <si>
    <t>26110</t>
  </si>
  <si>
    <t>Venterol</t>
  </si>
  <si>
    <t>BTA1090163</t>
  </si>
  <si>
    <t>9321300</t>
  </si>
  <si>
    <t>50050148812315</t>
  </si>
  <si>
    <t>Patrick BLANCHET</t>
  </si>
  <si>
    <t>blanchetpatrick0925@orange.fr</t>
  </si>
  <si>
    <t>+33683143539</t>
  </si>
  <si>
    <t>Stockage de matériel agricole et viticole</t>
  </si>
  <si>
    <t>MATHIEU VINCENT</t>
  </si>
  <si>
    <t>Lieu-dit Les Avals</t>
  </si>
  <si>
    <t>LA REDORTE</t>
  </si>
  <si>
    <t>BTA1201391</t>
  </si>
  <si>
    <t>9337150</t>
  </si>
  <si>
    <t>50070552162298</t>
  </si>
  <si>
    <t>Vincent MATHIEU</t>
  </si>
  <si>
    <t>Vincentmathieu11@icloud.com</t>
  </si>
  <si>
    <t>+33687565530</t>
  </si>
  <si>
    <t>4 rue des Rosiers</t>
  </si>
  <si>
    <t>La Redorte</t>
  </si>
  <si>
    <t>Stockage matériel, coin atelier</t>
  </si>
  <si>
    <t>BOUVIER</t>
  </si>
  <si>
    <t>Les Guillemins</t>
  </si>
  <si>
    <t>03340</t>
  </si>
  <si>
    <t>Neuilly-le-Réal</t>
  </si>
  <si>
    <t>BTA1033748</t>
  </si>
  <si>
    <t>9251050</t>
  </si>
  <si>
    <t>50038283597580</t>
  </si>
  <si>
    <t>Pierre BOUVIER</t>
  </si>
  <si>
    <t>gaecdesguillemins03@gmail.com</t>
  </si>
  <si>
    <t>+33681250350</t>
  </si>
  <si>
    <t>stockage matériel et fourrage, stabulation</t>
  </si>
  <si>
    <t>BTA1033591</t>
  </si>
  <si>
    <t>9228850</t>
  </si>
  <si>
    <t>50031047707531</t>
  </si>
  <si>
    <t>PANSIER</t>
  </si>
  <si>
    <t>109 Chem. de Trespeaux</t>
  </si>
  <si>
    <t>30340</t>
  </si>
  <si>
    <t>Mons</t>
  </si>
  <si>
    <t>BTA0981145</t>
  </si>
  <si>
    <t>9110650</t>
  </si>
  <si>
    <t>50050586054027</t>
  </si>
  <si>
    <t>Jacques PANSIER</t>
  </si>
  <si>
    <t>pansier.jacques@wanadoo.fr</t>
  </si>
  <si>
    <t>+33 6 11 81 12 44</t>
  </si>
  <si>
    <t>stockage matériel et semences</t>
  </si>
  <si>
    <t>CONCEPT-TY</t>
  </si>
  <si>
    <t>Rue Etienne Cosson</t>
  </si>
  <si>
    <t>37170</t>
  </si>
  <si>
    <t>Chambray-lès-Tours</t>
  </si>
  <si>
    <t>BTA1117650</t>
  </si>
  <si>
    <t>8833350</t>
  </si>
  <si>
    <t>50017732008744</t>
  </si>
  <si>
    <t>Paul-Henri AUBRUN</t>
  </si>
  <si>
    <t>ph.aubrun@concept-ty.com</t>
  </si>
  <si>
    <t>+33667793414</t>
  </si>
  <si>
    <t>PV READY</t>
  </si>
  <si>
    <t>ACTI CHAMBRAY 2</t>
  </si>
  <si>
    <t>8 rue Deroyer</t>
  </si>
  <si>
    <t>DINAN</t>
  </si>
  <si>
    <t>22100</t>
  </si>
  <si>
    <t>910869635</t>
  </si>
  <si>
    <t>Bâtiment d'activité</t>
  </si>
  <si>
    <t>HARAS DE LA MAJORIE / MANOHA</t>
  </si>
  <si>
    <t>1635 Rte de l'Heaume</t>
  </si>
  <si>
    <t>07790</t>
  </si>
  <si>
    <t>Saint-Alban-d'Ay</t>
  </si>
  <si>
    <t>BTA1134201 | BTA1134101</t>
  </si>
  <si>
    <t>9519200 | 9546050</t>
  </si>
  <si>
    <t>50020191865012 | 50002391575340</t>
  </si>
  <si>
    <t>Christian MANOHA</t>
  </si>
  <si>
    <t>christian.manoha@gmail.com</t>
  </si>
  <si>
    <t>+33680611381</t>
  </si>
  <si>
    <t>Carrière équestre</t>
  </si>
  <si>
    <t>CARTERET</t>
  </si>
  <si>
    <t>490 chemin de Formahoun</t>
  </si>
  <si>
    <t>81630</t>
  </si>
  <si>
    <t>Salvagnac</t>
  </si>
  <si>
    <t>BTA1089259</t>
  </si>
  <si>
    <t>9028600</t>
  </si>
  <si>
    <t>50081118261960</t>
  </si>
  <si>
    <t>Margaux CARTERET</t>
  </si>
  <si>
    <t>margaux81@me.com</t>
  </si>
  <si>
    <t>+33631264233</t>
  </si>
  <si>
    <t>Manège + boxes à chevaux</t>
  </si>
  <si>
    <t xml:space="preserve">BTA0945579 | </t>
  </si>
  <si>
    <t>9039250 | 9045200</t>
  </si>
  <si>
    <t>50063177518305 | 50084885188305</t>
  </si>
  <si>
    <t>2 Bâtiments
Mot de passe onduleur : Exploitation2023</t>
  </si>
  <si>
    <t>GFA des quatres vents</t>
  </si>
  <si>
    <t>les Quatre vents</t>
  </si>
  <si>
    <t xml:space="preserve">SALIGNY-SUR-ROUDON </t>
  </si>
  <si>
    <t>415269844</t>
  </si>
  <si>
    <t>stockage de matériel et de fourrage</t>
  </si>
  <si>
    <t>RUDELLE</t>
  </si>
  <si>
    <t>Crayssac</t>
  </si>
  <si>
    <t>12120</t>
  </si>
  <si>
    <t>Salmiech</t>
  </si>
  <si>
    <t>BTA1197755</t>
  </si>
  <si>
    <t>8922900</t>
  </si>
  <si>
    <t>50018024096540</t>
  </si>
  <si>
    <t>Sebastien RUDELLE</t>
  </si>
  <si>
    <t>rudelle.sebastien@gmail.com</t>
  </si>
  <si>
    <t>+33676637183</t>
  </si>
  <si>
    <t>BLANC</t>
  </si>
  <si>
    <t>Rte de Bellegarde</t>
  </si>
  <si>
    <t>38270</t>
  </si>
  <si>
    <t>Pact</t>
  </si>
  <si>
    <t>BTA1101288</t>
  </si>
  <si>
    <t>9241400</t>
  </si>
  <si>
    <t>50010930770400</t>
  </si>
  <si>
    <t>Daniel BLANC</t>
  </si>
  <si>
    <t>danydoo3839@gmail.com</t>
  </si>
  <si>
    <t>+33677056678</t>
  </si>
  <si>
    <t>Romain BESNARD</t>
  </si>
  <si>
    <t>Stockage matériel, stockage paille, foin et fourrage, céréales et produits phytosanitaires dans la limite de 50%</t>
  </si>
  <si>
    <t>QUINTARD</t>
  </si>
  <si>
    <t>13 Route du Petit Morlut</t>
  </si>
  <si>
    <t>17800</t>
  </si>
  <si>
    <t>Chadenac</t>
  </si>
  <si>
    <t>BTA1046861</t>
  </si>
  <si>
    <t>9336500</t>
  </si>
  <si>
    <t>50016865500332</t>
  </si>
  <si>
    <t>Thomas QUINTARD</t>
  </si>
  <si>
    <t>thomas.cognacdufrolet@gmail.com</t>
  </si>
  <si>
    <t>+33686151889</t>
  </si>
  <si>
    <t>Bastien QUINTARD</t>
  </si>
  <si>
    <t>13 route du petit Morlut</t>
  </si>
  <si>
    <t>CHADENAC</t>
  </si>
  <si>
    <t>Stockage de matériel</t>
  </si>
  <si>
    <t>TARROUX</t>
  </si>
  <si>
    <t xml:space="preserve"> RUE DE LA GARE LIEU-DIT LA PLAINE</t>
  </si>
  <si>
    <t>82200</t>
  </si>
  <si>
    <t>MALAUSE</t>
  </si>
  <si>
    <t>BTA0996440</t>
  </si>
  <si>
    <t>8800200</t>
  </si>
  <si>
    <t xml:space="preserve">50053914058709  </t>
  </si>
  <si>
    <t>Mot de passe onduleur : Exploitation2023
Pour accéder au local onduleur, il faut demander les clés au propriétaire</t>
  </si>
  <si>
    <t>Stéphane TARROUX</t>
  </si>
  <si>
    <t>stephanetarroux@ttprefa.fr</t>
  </si>
  <si>
    <t>+33662075544</t>
  </si>
  <si>
    <t>SAMAPRO</t>
  </si>
  <si>
    <t>Fixe</t>
  </si>
  <si>
    <t>SCI CAMAZO</t>
  </si>
  <si>
    <t>1924 ROUTE DE LA MEGERE</t>
  </si>
  <si>
    <t>MOISSAC</t>
  </si>
  <si>
    <t>Produits béton</t>
  </si>
  <si>
    <t>FAURE</t>
  </si>
  <si>
    <t>19 Rte du Tort</t>
  </si>
  <si>
    <t>17240</t>
  </si>
  <si>
    <t>Saint-Sigismond-de-Clermont</t>
  </si>
  <si>
    <t>BTA1047656 | BTA1047405</t>
  </si>
  <si>
    <t>9356600 | 9389900</t>
  </si>
  <si>
    <t>50024101385378 | 50078370562842</t>
  </si>
  <si>
    <t>3 Bâtiments
Mot de passe onduleur : Exploitation2023
Mise en service PDL1 : 10/06/2025
Mise en service PDL2 : 02/07/2025</t>
  </si>
  <si>
    <t>Thierry FAURE</t>
  </si>
  <si>
    <t>faure.t@wanadoo.fr</t>
  </si>
  <si>
    <t>+33681096647</t>
  </si>
  <si>
    <t>Stockage</t>
  </si>
  <si>
    <t>SINAUD</t>
  </si>
  <si>
    <t>LA DRABLE</t>
  </si>
  <si>
    <t>23300</t>
  </si>
  <si>
    <t>Saint-Priest-la-Feuille</t>
  </si>
  <si>
    <t>BTA1026867</t>
  </si>
  <si>
    <t>9135600</t>
  </si>
  <si>
    <t>50003545946507</t>
  </si>
  <si>
    <t>Frederic SINAUD</t>
  </si>
  <si>
    <t>gaec.sinaud@orange.fr</t>
  </si>
  <si>
    <t>+33689500942</t>
  </si>
  <si>
    <t>Animaux : 60 % Fourrage paille : 25 % Couloir de circulation : 25 %</t>
  </si>
  <si>
    <t>11 La Quaire</t>
  </si>
  <si>
    <t>23240</t>
  </si>
  <si>
    <t>Saint-Priest-la-Plaine</t>
  </si>
  <si>
    <t>BTA1048684 | BTA1048686</t>
  </si>
  <si>
    <t>9046450 | 9045850</t>
  </si>
  <si>
    <t>50024535517011 | 50054781537102</t>
  </si>
  <si>
    <t>RASaMot de passe onduleur : Exploitation2023</t>
  </si>
  <si>
    <t>Fourrage paille : 50 %, Matériel : 50 %</t>
  </si>
  <si>
    <t>THETE</t>
  </si>
  <si>
    <t>Vers la Fontaine</t>
  </si>
  <si>
    <t>01480</t>
  </si>
  <si>
    <t>Chaleins</t>
  </si>
  <si>
    <t>BTA1202492</t>
  </si>
  <si>
    <t>9263250</t>
  </si>
  <si>
    <t>50001522051958</t>
  </si>
  <si>
    <t>PHILIPPE THETE</t>
  </si>
  <si>
    <t>cithete@laposte.net</t>
  </si>
  <si>
    <t>+33608923480</t>
  </si>
  <si>
    <t>RAVOYARD</t>
  </si>
  <si>
    <t>MOESSNER</t>
  </si>
  <si>
    <t>Le Banquet Bas</t>
  </si>
  <si>
    <t>12550</t>
  </si>
  <si>
    <t>Plaisance</t>
  </si>
  <si>
    <t>1079522</t>
  </si>
  <si>
    <t>8492500</t>
  </si>
  <si>
    <t>50016285224763</t>
  </si>
  <si>
    <t>Karine Moessner</t>
  </si>
  <si>
    <t>gaecdelacigogne@orange.fr</t>
  </si>
  <si>
    <t>+33 6 74 52 69 75</t>
  </si>
  <si>
    <t>+33 4 75 64 99 99</t>
  </si>
  <si>
    <t>stockage matériel et fourrage</t>
  </si>
  <si>
    <t>Lieu-dit Le Banquet Bas</t>
  </si>
  <si>
    <t>1079521</t>
  </si>
  <si>
    <t>8490000</t>
  </si>
  <si>
    <t>50009049334789</t>
  </si>
  <si>
    <t>stockage de matériel/d'engrais/céréales/Foin et fourrage</t>
  </si>
  <si>
    <t>CASTET</t>
  </si>
  <si>
    <t>DAVAI ENRSPV9</t>
  </si>
  <si>
    <t>11, Carrère de la Goutille</t>
  </si>
  <si>
    <t>BTA1115759</t>
  </si>
  <si>
    <t>9096200</t>
  </si>
  <si>
    <t>50062305094972</t>
  </si>
  <si>
    <t>Frédéric Castet</t>
  </si>
  <si>
    <t>castet45@sfr.fr</t>
  </si>
  <si>
    <t>06 84 07 75 94</t>
  </si>
  <si>
    <t>METAL R</t>
  </si>
  <si>
    <t>DEV-CONT-SPV009-Contrat_DEV_EPC_DAVAI_ENR-1</t>
  </si>
  <si>
    <t>EX-CONT-SPV009-Contrat_Suivi_O&amp;M_Gestion_Actifs_DAVAI_ENR-1</t>
  </si>
  <si>
    <t>Frédéric Yannick CASTET</t>
  </si>
  <si>
    <t>11 Carrère de la Goutille</t>
  </si>
  <si>
    <t>Stockage de matériel agricole + fourrage + stabulation</t>
  </si>
  <si>
    <t>BTA1116013</t>
  </si>
  <si>
    <t>9094700</t>
  </si>
  <si>
    <t>50004417974932</t>
  </si>
  <si>
    <t>11  carrere de la goutille</t>
  </si>
  <si>
    <t>MARKEY</t>
  </si>
  <si>
    <t>Av. de Provence</t>
  </si>
  <si>
    <t>04220</t>
  </si>
  <si>
    <t>Sainte-Tulle</t>
  </si>
  <si>
    <t>1042667</t>
  </si>
  <si>
    <t>9271800</t>
  </si>
  <si>
    <t>50010063032062</t>
  </si>
  <si>
    <t>Amaury MARKEY</t>
  </si>
  <si>
    <t>markey.p@orange.fr</t>
  </si>
  <si>
    <t>+33 6 07 15 17 55</t>
  </si>
  <si>
    <t>Entrepôt stockage de vins</t>
  </si>
  <si>
    <t>Gazailles</t>
  </si>
  <si>
    <t>BTA1202706</t>
  </si>
  <si>
    <t>9042900</t>
  </si>
  <si>
    <t>50064764471298</t>
  </si>
  <si>
    <t>Yannick CLEMENT</t>
  </si>
  <si>
    <t>Stabulation, fourrage (+ matériel plus tard peut - être)</t>
  </si>
  <si>
    <t>Rte de Chard</t>
  </si>
  <si>
    <t>BTA1016812</t>
  </si>
  <si>
    <t>9175250</t>
  </si>
  <si>
    <t>50063176138379</t>
  </si>
  <si>
    <t>2 Bâtiments
Mot de passe onduleur : Exploiation2023</t>
  </si>
  <si>
    <t>Stabulation et stockage de matériel</t>
  </si>
  <si>
    <t>CARRERE</t>
  </si>
  <si>
    <t>32 chemin de marjeau</t>
  </si>
  <si>
    <t>47600</t>
  </si>
  <si>
    <t>Montagnac-sur-Auvignon</t>
  </si>
  <si>
    <t>BTA0998687 | BTA0998690</t>
  </si>
  <si>
    <t>7887550 | 7897650</t>
  </si>
  <si>
    <t>50078659800673 | 50064188020640</t>
  </si>
  <si>
    <t>Christophe CARRERE</t>
  </si>
  <si>
    <t>christophe-carrere@orange.fr</t>
  </si>
  <si>
    <t>+33607115337</t>
  </si>
  <si>
    <t>Stockage matériel, céréales, paille, foin limité à 50% de la surface au sol du bâtiment</t>
  </si>
  <si>
    <t>LARRAT</t>
  </si>
  <si>
    <t>DAVAI ENRSPV6</t>
  </si>
  <si>
    <t>Lieudit Les Clos</t>
  </si>
  <si>
    <t>63500</t>
  </si>
  <si>
    <t>Perrier</t>
  </si>
  <si>
    <t>BTA0912461</t>
  </si>
  <si>
    <t>6274050</t>
  </si>
  <si>
    <t>50069835867765</t>
  </si>
  <si>
    <t>Guy LARRAT</t>
  </si>
  <si>
    <t>guylarrat@wanadoo.fr</t>
  </si>
  <si>
    <t>+33683148255</t>
  </si>
  <si>
    <t>DEV-CONT-SPV006-Contrat_DEV_EPC_DAVAI_ENR-1</t>
  </si>
  <si>
    <t>EX-CONT-SPV006-Contrat_Suivi_O&amp;M_Gestion_Actifs_DAVAI_ENR-1</t>
  </si>
  <si>
    <t>Stockage de matériel, céréales, paille, foin et fourrage</t>
  </si>
  <si>
    <t>GAEC JOURCY 42</t>
  </si>
  <si>
    <t>460 Chem. de Jourcy</t>
  </si>
  <si>
    <t>42470</t>
  </si>
  <si>
    <t>Saint-Symphorien-de-Lay</t>
  </si>
  <si>
    <t>BTA1092953 | BTA1092954</t>
  </si>
  <si>
    <t>8820850 | 8821450</t>
  </si>
  <si>
    <t>50073449140237 | 50032494001586</t>
  </si>
  <si>
    <t>Pierre Marie COLOMBAT</t>
  </si>
  <si>
    <t>gaec.dejourcy@42.sideral.fr</t>
  </si>
  <si>
    <t>+33616443944</t>
  </si>
  <si>
    <t>Stabulation + stockage de paille, foin et fourrage</t>
  </si>
  <si>
    <t>419 Chemin des Seigles</t>
  </si>
  <si>
    <t>42210</t>
  </si>
  <si>
    <t>Craintilleux</t>
  </si>
  <si>
    <t>BTA1085800</t>
  </si>
  <si>
    <t>9261950</t>
  </si>
  <si>
    <t>50043203170116</t>
  </si>
  <si>
    <t>Julie GAYET</t>
  </si>
  <si>
    <t>gayet.blanchard@orange.fr</t>
  </si>
  <si>
    <t>+33664743675</t>
  </si>
  <si>
    <t>stockage de matériel, paille, foin et fourrage.</t>
  </si>
  <si>
    <t>TALLET</t>
  </si>
  <si>
    <t>ZA du Maine</t>
  </si>
  <si>
    <t>24270</t>
  </si>
  <si>
    <t>Angoisse</t>
  </si>
  <si>
    <t>BTA1199293</t>
  </si>
  <si>
    <t>8896350</t>
  </si>
  <si>
    <t>50014690361878</t>
  </si>
  <si>
    <t>Thierry TALLET</t>
  </si>
  <si>
    <t>thierry.tallet1981@gmail.com</t>
  </si>
  <si>
    <t>+33670028138</t>
  </si>
  <si>
    <t>SAS MANALY</t>
  </si>
  <si>
    <t>Zone d'activités du Maine</t>
  </si>
  <si>
    <t>920645231</t>
  </si>
  <si>
    <t>Stockage matériaux construction</t>
  </si>
  <si>
    <t>OZIOL</t>
  </si>
  <si>
    <t>Coustas</t>
  </si>
  <si>
    <t>82190</t>
  </si>
  <si>
    <t>Touffailles</t>
  </si>
  <si>
    <t>BTA1020759</t>
  </si>
  <si>
    <t>8821250</t>
  </si>
  <si>
    <t>50028877479005</t>
  </si>
  <si>
    <t>Philippe OZIOL</t>
  </si>
  <si>
    <t>patrick3182@hotmail.fr</t>
  </si>
  <si>
    <t>+33688117525</t>
  </si>
  <si>
    <t>Philippe Stéphane OZIOL</t>
  </si>
  <si>
    <t>70, impasse de Coustas</t>
  </si>
  <si>
    <t>TOUFFAILLES</t>
  </si>
  <si>
    <t>Stockage de matériel et fourrage</t>
  </si>
  <si>
    <t>BALAVOINE</t>
  </si>
  <si>
    <t>A Courtiade</t>
  </si>
  <si>
    <t>32500</t>
  </si>
  <si>
    <t>Fleurance</t>
  </si>
  <si>
    <t>BTA1049231 | BTA1049413</t>
  </si>
  <si>
    <t>9158700 | 9158350</t>
  </si>
  <si>
    <t>50024244719249 | 50031480609223</t>
  </si>
  <si>
    <t>Denis BALAVOINE</t>
  </si>
  <si>
    <t>d.e.b.negoce@gmail.com</t>
  </si>
  <si>
    <t>0607158226</t>
  </si>
  <si>
    <t>Denis Balavoine</t>
  </si>
  <si>
    <t>75 avenue de la Cote d'argent</t>
  </si>
  <si>
    <t>Stockage matériel (20%), stockage fourrage et produits finis (40%), Transformation (40%)</t>
  </si>
  <si>
    <t>VERZEILLE</t>
  </si>
  <si>
    <t>1 All. de la Condamine</t>
  </si>
  <si>
    <t>BTA1199195</t>
  </si>
  <si>
    <t>9258700</t>
  </si>
  <si>
    <t>50096022393692</t>
  </si>
  <si>
    <t>Vis onduleur dans le sachet sur la portière du schelter</t>
  </si>
  <si>
    <t>Commune De Verzeille</t>
  </si>
  <si>
    <t>mairiedeverzeille@outlook.fr</t>
  </si>
  <si>
    <t>04 68 69 41 71</t>
  </si>
  <si>
    <t>N/C</t>
  </si>
  <si>
    <t>Halle multi-activités sportives</t>
  </si>
  <si>
    <t>AZEMAR</t>
  </si>
  <si>
    <t>Impasse de la Bouffie</t>
  </si>
  <si>
    <t>12160</t>
  </si>
  <si>
    <t>CAMBOULAZET</t>
  </si>
  <si>
    <t>BTA0955373</t>
  </si>
  <si>
    <t>9049150</t>
  </si>
  <si>
    <t>50003262828779</t>
  </si>
  <si>
    <t>Valentin AZEMAR</t>
  </si>
  <si>
    <t>azemdu12@orange.fr</t>
  </si>
  <si>
    <t>+33 6 78 52 91 23</t>
  </si>
  <si>
    <t>+33 5 55 66 22 80</t>
  </si>
  <si>
    <t>Valentin Azemar</t>
  </si>
  <si>
    <t>Lacombe</t>
  </si>
  <si>
    <t>Camboulazet</t>
  </si>
  <si>
    <t>Agriculture</t>
  </si>
  <si>
    <t>DUMON</t>
  </si>
  <si>
    <t>2 Le Montimbert</t>
  </si>
  <si>
    <t>BTA1001839 | BTA1001817</t>
  </si>
  <si>
    <t>8674400 | 8880100</t>
  </si>
  <si>
    <t>50018458193298 | 50025694083285</t>
  </si>
  <si>
    <t>Emmanuel DUMON</t>
  </si>
  <si>
    <t>emmanueldumon68@gmail.com</t>
  </si>
  <si>
    <t>+33602720021</t>
  </si>
  <si>
    <t>Emmanuel Claude DUMON</t>
  </si>
  <si>
    <t>2 B le Montimbert</t>
  </si>
  <si>
    <t>SAINT-PRIEST-LA-PLAINE</t>
  </si>
  <si>
    <t>SOARES</t>
  </si>
  <si>
    <t>Les Montaux</t>
  </si>
  <si>
    <t>Bésignan</t>
  </si>
  <si>
    <t>BTA1110752</t>
  </si>
  <si>
    <t>8885900</t>
  </si>
  <si>
    <t>50028007235629</t>
  </si>
  <si>
    <t xml:space="preserve">Fernandes SOARES </t>
  </si>
  <si>
    <t>msfexploitation@yahoo.fr</t>
  </si>
  <si>
    <t>mairiedebesignan@orange.fr</t>
  </si>
  <si>
    <t>0670886646</t>
  </si>
  <si>
    <t>0630203118</t>
  </si>
  <si>
    <t>Eliane MERINDOL et Mickael SOARES</t>
  </si>
  <si>
    <t>Lieudit les Granges</t>
  </si>
  <si>
    <t>Bézignan</t>
  </si>
  <si>
    <t>Stockage matériel et foin</t>
  </si>
  <si>
    <t>LAPRADE REBEIX</t>
  </si>
  <si>
    <t>2 Le Bois Neuf</t>
  </si>
  <si>
    <t>23210</t>
  </si>
  <si>
    <t>Marsac</t>
  </si>
  <si>
    <t>BTA1046549</t>
  </si>
  <si>
    <t>9080250</t>
  </si>
  <si>
    <t>50058538633548</t>
  </si>
  <si>
    <t>Michel REBEIX</t>
  </si>
  <si>
    <t>michel.rebeix1@orange.fr</t>
  </si>
  <si>
    <t>+33607695838</t>
  </si>
  <si>
    <t>FAUREL</t>
  </si>
  <si>
    <t>Lac Ferrié</t>
  </si>
  <si>
    <t>46600</t>
  </si>
  <si>
    <t>Gignac</t>
  </si>
  <si>
    <t>BTA1027948</t>
  </si>
  <si>
    <t>6035250</t>
  </si>
  <si>
    <t>50079679722958</t>
  </si>
  <si>
    <t>Jean Marc FAUREL</t>
  </si>
  <si>
    <t>jean-marc.faurel@orange.fr</t>
  </si>
  <si>
    <t>+33678449759</t>
  </si>
  <si>
    <t>THURIES</t>
  </si>
  <si>
    <t>Les Escors</t>
  </si>
  <si>
    <t>Saint-Papoul</t>
  </si>
  <si>
    <t>BTA1090552</t>
  </si>
  <si>
    <t>9092150</t>
  </si>
  <si>
    <t>50086038954566</t>
  </si>
  <si>
    <t>Frédéric THURIES</t>
  </si>
  <si>
    <t>frederic_thuries@orange.fr</t>
  </si>
  <si>
    <t>+33468949721</t>
  </si>
  <si>
    <t>+33750376891</t>
  </si>
  <si>
    <t>Monsieur Frédéric Jean-Christophe THURIES</t>
  </si>
  <si>
    <t>12 rue Général d'Hautpoul</t>
  </si>
  <si>
    <t>SAINT-PAPOUL</t>
  </si>
  <si>
    <t>Stockage matériel</t>
  </si>
  <si>
    <t>ESTABES</t>
  </si>
  <si>
    <t>Plaine de Minique</t>
  </si>
  <si>
    <t>81310</t>
  </si>
  <si>
    <t>Parisot</t>
  </si>
  <si>
    <t>BTA1082259</t>
  </si>
  <si>
    <t>8962100</t>
  </si>
  <si>
    <t>50095301164101</t>
  </si>
  <si>
    <t>Fréderic ESTABES</t>
  </si>
  <si>
    <t>cambournacestabes@gmail.com</t>
  </si>
  <si>
    <t>+33683735746</t>
  </si>
  <si>
    <t>ROUX</t>
  </si>
  <si>
    <t>Rue de Vareine cros et vareine</t>
  </si>
  <si>
    <t>15260</t>
  </si>
  <si>
    <t>Neuvéglise-sur-Truyère</t>
  </si>
  <si>
    <t>BTA1003861</t>
  </si>
  <si>
    <t>8137350</t>
  </si>
  <si>
    <t>50012958545080</t>
  </si>
  <si>
    <t>Laurent ROUX</t>
  </si>
  <si>
    <t>elroux15@gmail.com</t>
  </si>
  <si>
    <t>+33786270472</t>
  </si>
  <si>
    <t>Stockage de matériel, paille, foin et fourrage</t>
  </si>
  <si>
    <t>PELLERIN</t>
  </si>
  <si>
    <t>Les Janins</t>
  </si>
  <si>
    <t>Dieulivol</t>
  </si>
  <si>
    <t>BTA1030422</t>
  </si>
  <si>
    <t>8886350</t>
  </si>
  <si>
    <t>50041757391179</t>
  </si>
  <si>
    <t>Mot de passe onduleur : Exploitation2023
2 toitures</t>
  </si>
  <si>
    <t>François PELLERIN</t>
  </si>
  <si>
    <t>myriam.pellerin@wanadoo.fr</t>
  </si>
  <si>
    <t>+33688573753</t>
  </si>
  <si>
    <t>BARAN</t>
  </si>
  <si>
    <t>Stockage de matériel + engrais</t>
  </si>
  <si>
    <t>VAN ZANTEN</t>
  </si>
  <si>
    <t>La Tuque</t>
  </si>
  <si>
    <t>47210</t>
  </si>
  <si>
    <t>Parranquet</t>
  </si>
  <si>
    <t>BTA1167370</t>
  </si>
  <si>
    <t>9077900</t>
  </si>
  <si>
    <t>50012810881102</t>
  </si>
  <si>
    <t>Richard VAN ZANTEN</t>
  </si>
  <si>
    <t>earllavision@gmail.com</t>
  </si>
  <si>
    <t>+33679206582</t>
  </si>
  <si>
    <t>GONZALEZ</t>
  </si>
  <si>
    <t>Stockage fourrage matériel et nurserie</t>
  </si>
  <si>
    <t>SCEA GENRE</t>
  </si>
  <si>
    <t>2767 Rte de Pourrières</t>
  </si>
  <si>
    <t>13530</t>
  </si>
  <si>
    <t>Trets</t>
  </si>
  <si>
    <t>BTA1024015</t>
  </si>
  <si>
    <t>7896850</t>
  </si>
  <si>
    <t>50091974609473</t>
  </si>
  <si>
    <t>David GENRE</t>
  </si>
  <si>
    <t>d.genre@groupegenre.com</t>
  </si>
  <si>
    <t>+33442613699</t>
  </si>
  <si>
    <t>+33616090475</t>
  </si>
  <si>
    <t>Stockage matériel pépinière</t>
  </si>
  <si>
    <t>IZARD</t>
  </si>
  <si>
    <t>Reuilh</t>
  </si>
  <si>
    <t>BTA1084559</t>
  </si>
  <si>
    <t>9076700</t>
  </si>
  <si>
    <t>50027428245030</t>
  </si>
  <si>
    <t>Benoit IZARD</t>
  </si>
  <si>
    <t>benizard11@gmail.com</t>
  </si>
  <si>
    <t>+33688222395</t>
  </si>
  <si>
    <t>Stockage matériel + stockage céréales + foin</t>
  </si>
  <si>
    <t>LELY</t>
  </si>
  <si>
    <t>Lieu-dit Les Desvioux</t>
  </si>
  <si>
    <t>69550</t>
  </si>
  <si>
    <t>Amplepuis</t>
  </si>
  <si>
    <t>BTA1004507 | BTA1004585</t>
  </si>
  <si>
    <t>8444300 | 8414550</t>
  </si>
  <si>
    <t>50014841170726 | 50087200070705</t>
  </si>
  <si>
    <t>Mot de passe onduleur : Exploitation2023
Mise en service PDL 1 : 14/04/2025
Mise en service PDL 2 : 18/06/2025</t>
  </si>
  <si>
    <t>Eric LELY</t>
  </si>
  <si>
    <t>eric.lely16@gmail.com</t>
  </si>
  <si>
    <t>+33684639769</t>
  </si>
  <si>
    <t>Stabulation, stockage de matériel, stockage de céréales à plat exclusivement et dans la stricte limite de 50% de la surface au sol du bâtiment, stockage de paille, foin et fourrage, saisonnier ou non, dans la stricte limite de 50 % maximum de la surface au sol du bâtiment et en laissant un espace de 2 mètres au minimum entre le sommet de la dernière botte et la toiture</t>
  </si>
  <si>
    <t>BORDES</t>
  </si>
  <si>
    <t>Les Chazals</t>
  </si>
  <si>
    <t>19550</t>
  </si>
  <si>
    <t>Lapleau</t>
  </si>
  <si>
    <t>BTA1091312</t>
  </si>
  <si>
    <t>9110300</t>
  </si>
  <si>
    <t>50052175241956</t>
  </si>
  <si>
    <t>Mot  de passe onduleur : Exploitation2023
Webdyn changé lors de la MES : WG0517-A04 / SU051704124280169A2 / MAC : 0005F30169A2</t>
  </si>
  <si>
    <t>Christian BORDES</t>
  </si>
  <si>
    <t>cbordes@bordes.de</t>
  </si>
  <si>
    <t>+33786962956</t>
  </si>
  <si>
    <t>Stabulation + stockage de paille</t>
  </si>
  <si>
    <t>GIACINO - Hangar Scea Sud Elevage</t>
  </si>
  <si>
    <t>LD Château Rivière</t>
  </si>
  <si>
    <t>47110</t>
  </si>
  <si>
    <t>Le Temple-sur-Lot</t>
  </si>
  <si>
    <t>BTA0996622 | BTA0996621</t>
  </si>
  <si>
    <t>8829850 | 8830650</t>
  </si>
  <si>
    <t>50014695991803 | 50029167771862</t>
  </si>
  <si>
    <t>Carol GIACINO</t>
  </si>
  <si>
    <t>carolgiacino@gmail.com</t>
  </si>
  <si>
    <t>+33609537644</t>
  </si>
  <si>
    <t>Manège équestre, Rond de longe</t>
  </si>
  <si>
    <t>SARRAZIN</t>
  </si>
  <si>
    <t>24 Rte De Lacanau</t>
  </si>
  <si>
    <t>24500</t>
  </si>
  <si>
    <t>Eymet</t>
  </si>
  <si>
    <t>BTA1101861</t>
  </si>
  <si>
    <t>8823850</t>
  </si>
  <si>
    <t>50056372015091</t>
  </si>
  <si>
    <t>Amandine SARRAZIN</t>
  </si>
  <si>
    <t>amandine.sarrazin28@gmail.com</t>
  </si>
  <si>
    <t>+33683884846</t>
  </si>
  <si>
    <t>Stockage de matériel (45%), fourrage (35%) et animaux (20%)</t>
  </si>
  <si>
    <t>GUIRAUTON</t>
  </si>
  <si>
    <t>91 Rte de Lesclaouzon</t>
  </si>
  <si>
    <t>40300</t>
  </si>
  <si>
    <t>Labatut</t>
  </si>
  <si>
    <t>BTA1095754</t>
  </si>
  <si>
    <t>9051500</t>
  </si>
  <si>
    <t>50088062844103</t>
  </si>
  <si>
    <t>Vincent GUIRAUTON</t>
  </si>
  <si>
    <t>vincent.guirauton@sfr.fr</t>
  </si>
  <si>
    <t>+33624105886</t>
  </si>
  <si>
    <t>Stockage matériel (35%), Animaux (35%), Fourrage (30%)</t>
  </si>
  <si>
    <t>ASPTT DIRAC</t>
  </si>
  <si>
    <t>Rte du Stade</t>
  </si>
  <si>
    <t>16410</t>
  </si>
  <si>
    <t>Dirac</t>
  </si>
  <si>
    <t>BTA0980592</t>
  </si>
  <si>
    <t>8790250</t>
  </si>
  <si>
    <t>50062742321625</t>
  </si>
  <si>
    <t>Michel FOUCARD</t>
  </si>
  <si>
    <t>mfoucaud16330@gmail.com</t>
  </si>
  <si>
    <t>+33678914397</t>
  </si>
  <si>
    <t>Boulodrome</t>
  </si>
  <si>
    <t>BAFFERT</t>
  </si>
  <si>
    <t>884 Chemin du Mouton</t>
  </si>
  <si>
    <t>38090</t>
  </si>
  <si>
    <t>Bonnefamille</t>
  </si>
  <si>
    <t>BTA1096627 | BTA1096293</t>
  </si>
  <si>
    <t>8823350 | 8831250</t>
  </si>
  <si>
    <t>50082566550946 | 50064766261299</t>
  </si>
  <si>
    <t>Marlene BAFFERT</t>
  </si>
  <si>
    <t>Jezabelle.equitation@gmail.com</t>
  </si>
  <si>
    <t>+33646811756</t>
  </si>
  <si>
    <t>MEUNIER</t>
  </si>
  <si>
    <t>270 Route de la Villeneuve</t>
  </si>
  <si>
    <t>71290</t>
  </si>
  <si>
    <t>La Genête</t>
  </si>
  <si>
    <t>BTA1094906</t>
  </si>
  <si>
    <t>9195900</t>
  </si>
  <si>
    <t>50052465279750</t>
  </si>
  <si>
    <t>Stéphane MEUNIER</t>
  </si>
  <si>
    <t>stephane.meunier71@orange.fr</t>
  </si>
  <si>
    <t>+33680827650</t>
  </si>
  <si>
    <t>VAUDIN</t>
  </si>
  <si>
    <t>Les Jacquets</t>
  </si>
  <si>
    <t>BTA0959500</t>
  </si>
  <si>
    <t>8670150</t>
  </si>
  <si>
    <t>50084450036657</t>
  </si>
  <si>
    <t>Julien VAUDIN</t>
  </si>
  <si>
    <t>julien-vaudin@orange.fr</t>
  </si>
  <si>
    <t>+33608014739</t>
  </si>
  <si>
    <t>BTA1182266</t>
  </si>
  <si>
    <t>7985850</t>
  </si>
  <si>
    <t>50028586296268</t>
  </si>
  <si>
    <t>Lieudit les Jacquets</t>
  </si>
  <si>
    <t>CHEVAGNES</t>
  </si>
  <si>
    <t>VALADEAU</t>
  </si>
  <si>
    <t>Le Triat</t>
  </si>
  <si>
    <t xml:space="preserve">23210 </t>
  </si>
  <si>
    <t>BTA1021889</t>
  </si>
  <si>
    <t>9039550</t>
  </si>
  <si>
    <t>50063896802886</t>
  </si>
  <si>
    <t>2 Bâtiments</t>
  </si>
  <si>
    <t>ERIC VALADEAU</t>
  </si>
  <si>
    <t>ericvaladeau@yahoo.fr</t>
  </si>
  <si>
    <t>+33608744261</t>
  </si>
  <si>
    <t>Stockage de matériel agricole + fourrage</t>
  </si>
  <si>
    <t>LIEU DIT LA MAISONNEUVE</t>
  </si>
  <si>
    <t>42310</t>
  </si>
  <si>
    <t>URBISE</t>
  </si>
  <si>
    <t>BTA1088021</t>
  </si>
  <si>
    <t>9139900</t>
  </si>
  <si>
    <t>50060279985374</t>
  </si>
  <si>
    <t>Alexandre CADOT</t>
  </si>
  <si>
    <t>alexcadot@free.fr</t>
  </si>
  <si>
    <t>+33689950534</t>
  </si>
  <si>
    <t>+33972101007</t>
  </si>
  <si>
    <t>MACCHADO</t>
  </si>
  <si>
    <t>Stabulation, Stockage de matériel, céréales et fourrage</t>
  </si>
  <si>
    <t>TINLOT</t>
  </si>
  <si>
    <t>Lieu dit EL TRECH</t>
  </si>
  <si>
    <t>19160</t>
  </si>
  <si>
    <t>PALISSE</t>
  </si>
  <si>
    <t>BTA1025686</t>
  </si>
  <si>
    <t>8834650</t>
  </si>
  <si>
    <t>50057675640104</t>
  </si>
  <si>
    <t>Jason TINLOT</t>
  </si>
  <si>
    <t>jason.tinlotdu19@hotmail.fr</t>
  </si>
  <si>
    <t>+33638270102</t>
  </si>
  <si>
    <t>garage automobile</t>
  </si>
  <si>
    <t>ANTUNEZ</t>
  </si>
  <si>
    <t>253 Bd Robert Koch</t>
  </si>
  <si>
    <t>34500</t>
  </si>
  <si>
    <t>Béziers</t>
  </si>
  <si>
    <t>Ombrière</t>
  </si>
  <si>
    <t>BTA1317454</t>
  </si>
  <si>
    <t>8685950</t>
  </si>
  <si>
    <t>50068102290969</t>
  </si>
  <si>
    <t>Christophe ANTUNEZ</t>
  </si>
  <si>
    <t>antunezv@versaserv.fr</t>
  </si>
  <si>
    <t>scianauja@gmail.com</t>
  </si>
  <si>
    <t>+33670356833</t>
  </si>
  <si>
    <t>SCI ANAUJA</t>
  </si>
  <si>
    <t>245 Rue de la Verrerie ZA BEZIERS Ouest</t>
  </si>
  <si>
    <t>Beziers</t>
  </si>
  <si>
    <t>821755881</t>
  </si>
  <si>
    <t>parking</t>
  </si>
  <si>
    <t>MARTEL</t>
  </si>
  <si>
    <t>Le Grand-Bourg</t>
  </si>
  <si>
    <t>BTA1020685 | BTA1020758</t>
  </si>
  <si>
    <t>8672500 | 8666150</t>
  </si>
  <si>
    <t>50008472044199 | 50089369294204</t>
  </si>
  <si>
    <t>Christophe MARTEL</t>
  </si>
  <si>
    <t>christophe.martel@orange.fr</t>
  </si>
  <si>
    <t>+33617274485</t>
  </si>
  <si>
    <t>Christophe Martel</t>
  </si>
  <si>
    <t>Le grand bourg</t>
  </si>
  <si>
    <t>Nouvelours</t>
  </si>
  <si>
    <t>DAUNIS</t>
  </si>
  <si>
    <t>Le champ de Barre lieu-dit Le Cheylard</t>
  </si>
  <si>
    <t>48310</t>
  </si>
  <si>
    <t>Termes</t>
  </si>
  <si>
    <t>BTA0963215</t>
  </si>
  <si>
    <t>9022200</t>
  </si>
  <si>
    <t>50057533801230</t>
  </si>
  <si>
    <t>Jérôme DAUNIS</t>
  </si>
  <si>
    <t>familydaunis@orange.fr</t>
  </si>
  <si>
    <t>+33677278138</t>
  </si>
  <si>
    <t>BTA0963377</t>
  </si>
  <si>
    <t>9295300</t>
  </si>
  <si>
    <t>50064769691284</t>
  </si>
  <si>
    <t>DURUDAUD</t>
  </si>
  <si>
    <t>Lieu dit Cote au Faux</t>
  </si>
  <si>
    <t>Aulon</t>
  </si>
  <si>
    <t>BTA1004763 | BTA1004761</t>
  </si>
  <si>
    <t>8443550 | 8453300</t>
  </si>
  <si>
    <t>50023667788609 | 50038139568678</t>
  </si>
  <si>
    <t>Arnaud DURUDAUD</t>
  </si>
  <si>
    <t>arnaud.durudaud@orange.fr</t>
  </si>
  <si>
    <t>+33688476095</t>
  </si>
  <si>
    <t>Monsieur Arnaud DURUDAUD</t>
  </si>
  <si>
    <t>38 rue des grangeaux</t>
  </si>
  <si>
    <t>AULON</t>
  </si>
  <si>
    <t>Stockage de fourrage et céréales</t>
  </si>
  <si>
    <t>PONCET 69</t>
  </si>
  <si>
    <t>29 rue de Barbieux - St Didier sous Riverie</t>
  </si>
  <si>
    <t>69440</t>
  </si>
  <si>
    <t>Chabanière</t>
  </si>
  <si>
    <t>BTA1004568 | BTA1004553</t>
  </si>
  <si>
    <t>7747300 | 7730150</t>
  </si>
  <si>
    <t>50088646314753 | 50095882204738</t>
  </si>
  <si>
    <t>THIERRY PONCET</t>
  </si>
  <si>
    <t>thierryponcet69@gmail.com</t>
  </si>
  <si>
    <t>+33660782379</t>
  </si>
  <si>
    <t>La Paumerie</t>
  </si>
  <si>
    <t>Saint-Corneille</t>
  </si>
  <si>
    <t>BTA1070664</t>
  </si>
  <si>
    <t>8606700</t>
  </si>
  <si>
    <t>50086619005159</t>
  </si>
  <si>
    <t>PASCAL CLEMENT</t>
  </si>
  <si>
    <t>pascalclement72@orange.fr</t>
  </si>
  <si>
    <t>+33608983103</t>
  </si>
  <si>
    <t>stockage matériel, stockage de paille, foin, fourrage.</t>
  </si>
  <si>
    <t>COMBY</t>
  </si>
  <si>
    <t>Besse</t>
  </si>
  <si>
    <t>19210</t>
  </si>
  <si>
    <t>Saint-Éloy-les-Tuileries</t>
  </si>
  <si>
    <t>S17</t>
  </si>
  <si>
    <t>BTA1031955 | BTA1032267</t>
  </si>
  <si>
    <t>8788150 | 8784750</t>
  </si>
  <si>
    <t>50074318338618 | 50066214140261</t>
  </si>
  <si>
    <t>3 Bâtiments</t>
  </si>
  <si>
    <t>Fabrice COMBY</t>
  </si>
  <si>
    <t>fabrice.comby@wanadoo.fr</t>
  </si>
  <si>
    <t>+33670019475</t>
  </si>
  <si>
    <t>GALISSON</t>
  </si>
  <si>
    <t>Luctaie</t>
  </si>
  <si>
    <t>49370</t>
  </si>
  <si>
    <t>Bécon-les-Granits</t>
  </si>
  <si>
    <t>BTA1050448</t>
  </si>
  <si>
    <t>8577000</t>
  </si>
  <si>
    <t>50028442702314</t>
  </si>
  <si>
    <t>Vincent GALISSON</t>
  </si>
  <si>
    <t>vincentgalisson@gmail.com</t>
  </si>
  <si>
    <t>+33686530944</t>
  </si>
  <si>
    <t>NORM ENERGY</t>
  </si>
  <si>
    <t>FABRES</t>
  </si>
  <si>
    <t>LD La Croix de Pierre</t>
  </si>
  <si>
    <t>81340</t>
  </si>
  <si>
    <t>Lacapelle-Pinet</t>
  </si>
  <si>
    <t>490_24000_2023</t>
  </si>
  <si>
    <t>64418482182698</t>
  </si>
  <si>
    <t>SICAE du CARMAUSIN</t>
  </si>
  <si>
    <t>Benoit FABRES</t>
  </si>
  <si>
    <t>fermedelendrevie@wanadoo.fr</t>
  </si>
  <si>
    <t>+33676754802</t>
  </si>
  <si>
    <t>SOULIER</t>
  </si>
  <si>
    <t>Stabulation (80%), Stockage fourrage (20%)</t>
  </si>
  <si>
    <t>PASSARELLI</t>
  </si>
  <si>
    <t>Rue du Limousin ZA de la Varenne</t>
  </si>
  <si>
    <t>63460</t>
  </si>
  <si>
    <t>Combronde</t>
  </si>
  <si>
    <t>BTA1091251</t>
  </si>
  <si>
    <t>9046350</t>
  </si>
  <si>
    <t>50063317982207</t>
  </si>
  <si>
    <t>Cédric PASSARELLI</t>
  </si>
  <si>
    <t>passarelli.cedric@yahoo.fr</t>
  </si>
  <si>
    <t>+33665741708</t>
  </si>
  <si>
    <t>Stockage de matériel et véhicules de maçonnerie dans le cadre de son activité de PTP/construction</t>
  </si>
  <si>
    <t>FOUCARD</t>
  </si>
  <si>
    <t>L'Oucherie</t>
  </si>
  <si>
    <t>37510</t>
  </si>
  <si>
    <t>Savonnières</t>
  </si>
  <si>
    <t>BTA1126862 | BTA1126767</t>
  </si>
  <si>
    <t>9086150 | 9107000</t>
  </si>
  <si>
    <t>50041176510507 | 50029309650703</t>
  </si>
  <si>
    <t>Pascal FOUCARD</t>
  </si>
  <si>
    <t>pascalfoucard@orange.fr</t>
  </si>
  <si>
    <t>+33685401971</t>
  </si>
  <si>
    <t>SONNARD</t>
  </si>
  <si>
    <t>Les grandes versaines</t>
  </si>
  <si>
    <t>79160</t>
  </si>
  <si>
    <t>Villiers-en-Plaine</t>
  </si>
  <si>
    <t>577500</t>
  </si>
  <si>
    <t>286126</t>
  </si>
  <si>
    <t>SEOLIS</t>
  </si>
  <si>
    <t>GEREDIS</t>
  </si>
  <si>
    <t>Renaud SONNARD</t>
  </si>
  <si>
    <t>clement-emilie@orange.fr</t>
  </si>
  <si>
    <t>+33681045602</t>
  </si>
  <si>
    <t>Stockage matériel (50%), Stockage céréales (25%), Stockage fourrage (25%)</t>
  </si>
  <si>
    <t>MINERVOIS</t>
  </si>
  <si>
    <t>32 Av. du Jeu de Mail, Complexe VITALIS CROS</t>
  </si>
  <si>
    <t>11160</t>
  </si>
  <si>
    <t>Villeneuve-Minervois</t>
  </si>
  <si>
    <t>BTA0987540</t>
  </si>
  <si>
    <t>8631900</t>
  </si>
  <si>
    <t>50081845206477</t>
  </si>
  <si>
    <t>Commune De Villeneuve-Minervois</t>
  </si>
  <si>
    <t>andrethomas11@gmail.com</t>
  </si>
  <si>
    <t>+33685217427</t>
  </si>
  <si>
    <t>Gymnase</t>
  </si>
  <si>
    <t>Toiture inclinée;#Ombrière</t>
  </si>
  <si>
    <t>BTA0987363</t>
  </si>
  <si>
    <t>8632500</t>
  </si>
  <si>
    <t>50054204106577</t>
  </si>
  <si>
    <t>Stockage matériel // Stockage de céréales, à plat exclusivement et dans la stricte limite de 50% maximum de la surface au sol du bâtiment et en laissant un espace de 2mètrs au min entre le sommet de la dernière botte et la toiture</t>
  </si>
  <si>
    <t>TRENEULES</t>
  </si>
  <si>
    <t>LES CAMPS GRANDS</t>
  </si>
  <si>
    <t>46150</t>
  </si>
  <si>
    <t>Nuzéjouls</t>
  </si>
  <si>
    <t>BTA1111324</t>
  </si>
  <si>
    <t>8889900</t>
  </si>
  <si>
    <t>50086472516205</t>
  </si>
  <si>
    <t>Sebastien TRENEULE</t>
  </si>
  <si>
    <t>sebtreneule@gmail.com</t>
  </si>
  <si>
    <t>+33680038086</t>
  </si>
  <si>
    <t>Sébastien TRENEULE</t>
  </si>
  <si>
    <t>Mas de Mole</t>
  </si>
  <si>
    <t>Nuzejouls</t>
  </si>
  <si>
    <t>SAINT MARTIN</t>
  </si>
  <si>
    <t>Palancot</t>
  </si>
  <si>
    <t>32160</t>
  </si>
  <si>
    <t>Jû-Belloc</t>
  </si>
  <si>
    <t>BTA1088355</t>
  </si>
  <si>
    <t>9100200</t>
  </si>
  <si>
    <t>50006444459508</t>
  </si>
  <si>
    <t>Joris SAINT-MARTIN</t>
  </si>
  <si>
    <t>joris.stmartin1206@gmail.com</t>
  </si>
  <si>
    <t>+33689096233</t>
  </si>
  <si>
    <t>Matériel (1/3), Fourrage (1/3), Stabulation (1/3)</t>
  </si>
  <si>
    <t>TOURNIER</t>
  </si>
  <si>
    <t>Panissous</t>
  </si>
  <si>
    <t>12240</t>
  </si>
  <si>
    <t>Rieupeyroux</t>
  </si>
  <si>
    <t>BTA0950718</t>
  </si>
  <si>
    <t>8801450</t>
  </si>
  <si>
    <t>50062163236091</t>
  </si>
  <si>
    <t>Philippe TOURNIER</t>
  </si>
  <si>
    <t>phillipe.tournier6@orange.fr</t>
  </si>
  <si>
    <t>+33672265643</t>
  </si>
  <si>
    <t>DALBRUT</t>
  </si>
  <si>
    <t>Les Plats</t>
  </si>
  <si>
    <t>87380</t>
  </si>
  <si>
    <t>Saint-Vitte-sur-Briance</t>
  </si>
  <si>
    <t>BTA0995591</t>
  </si>
  <si>
    <t>8087800</t>
  </si>
  <si>
    <t>50076490032110</t>
  </si>
  <si>
    <t>Christophe DALBRUT</t>
  </si>
  <si>
    <t>christophe.dalbrut@outlook.fr</t>
  </si>
  <si>
    <t>+33613760351</t>
  </si>
  <si>
    <t>Stockage de matériel(véhicules), paille, foin et fourrage</t>
  </si>
  <si>
    <t>LARTISIEN</t>
  </si>
  <si>
    <t>467 Chem. des Ruscats</t>
  </si>
  <si>
    <t>83210</t>
  </si>
  <si>
    <t>Solliès-Pont</t>
  </si>
  <si>
    <t>BTA1116029</t>
  </si>
  <si>
    <t>9047850</t>
  </si>
  <si>
    <t>50075908881593</t>
  </si>
  <si>
    <t>Identifiant onduleur : installer
Mot de passe onduleur : Girasole2024!</t>
  </si>
  <si>
    <t>Jean LARTISIEN</t>
  </si>
  <si>
    <t>leclercslila@gmail.com</t>
  </si>
  <si>
    <t>loiclartisien@sfr.fr</t>
  </si>
  <si>
    <t>+33620899163</t>
  </si>
  <si>
    <t>BOUCHARDY</t>
  </si>
  <si>
    <t>Saint-Martin</t>
  </si>
  <si>
    <t>23320</t>
  </si>
  <si>
    <t>Saint-Vaury</t>
  </si>
  <si>
    <t>BTA1128048 | BTA1128108</t>
  </si>
  <si>
    <t>9105350 | 9106650</t>
  </si>
  <si>
    <t>50053332318195 | 50060568208158</t>
  </si>
  <si>
    <t>Marc BOUCHARDY</t>
  </si>
  <si>
    <t>marcbouchardy37@gmail.com</t>
  </si>
  <si>
    <t>+33616843245</t>
  </si>
  <si>
    <t>Marc Bouchardy</t>
  </si>
  <si>
    <t>Saint Vaury</t>
  </si>
  <si>
    <t>Saint Martin</t>
  </si>
  <si>
    <t>DARRIGADE</t>
  </si>
  <si>
    <t>2071 Chem. de Loustalot</t>
  </si>
  <si>
    <t>40350</t>
  </si>
  <si>
    <t>Pouillon</t>
  </si>
  <si>
    <t>BTA1092147</t>
  </si>
  <si>
    <t>8326550</t>
  </si>
  <si>
    <t>50020626926797</t>
  </si>
  <si>
    <t>Bernard DARRIGADE</t>
  </si>
  <si>
    <t>darrigadejambon@orange.fr</t>
  </si>
  <si>
    <t>+33630646928</t>
  </si>
  <si>
    <t>Stabulation, Manège, Matériel, Céréales, Fourrage</t>
  </si>
  <si>
    <t>LACANAL</t>
  </si>
  <si>
    <t>Philippou</t>
  </si>
  <si>
    <t>09600</t>
  </si>
  <si>
    <t>Montbel</t>
  </si>
  <si>
    <t>BTA1007505</t>
  </si>
  <si>
    <t>7806300</t>
  </si>
  <si>
    <t>50012090716618</t>
  </si>
  <si>
    <t>FREDERIC LACANAL</t>
  </si>
  <si>
    <t>fredcolingaec@gmail.com</t>
  </si>
  <si>
    <t>+33686078084</t>
  </si>
  <si>
    <t>BOULOIR</t>
  </si>
  <si>
    <t>LIEU DIT HUVIER</t>
  </si>
  <si>
    <t>BTA0996957 | BTA0996940</t>
  </si>
  <si>
    <t>8323400 | 8323200</t>
  </si>
  <si>
    <t>50003841849397 | 50025549519319</t>
  </si>
  <si>
    <t>William BOULOIR</t>
  </si>
  <si>
    <t>sylvianebouloir@orange.fr</t>
  </si>
  <si>
    <t>+33672519024</t>
  </si>
  <si>
    <t>Josette Bouloir / Wiliam Bouloir</t>
  </si>
  <si>
    <t>Le Grand Bourg</t>
  </si>
  <si>
    <t>Huviers</t>
  </si>
  <si>
    <t>COMMUNE DE SOUPROSSE</t>
  </si>
  <si>
    <t>Lieu dit Compeyron</t>
  </si>
  <si>
    <t>40250</t>
  </si>
  <si>
    <t>SOUPROSSE</t>
  </si>
  <si>
    <t>BTA1013728</t>
  </si>
  <si>
    <t>8123000</t>
  </si>
  <si>
    <t>50025259796587</t>
  </si>
  <si>
    <t>Chris DUCOS</t>
  </si>
  <si>
    <t>ducos.chris@gmail.com</t>
  </si>
  <si>
    <t>+33686957298</t>
  </si>
  <si>
    <t>Tennis</t>
  </si>
  <si>
    <t>BTA1013912</t>
  </si>
  <si>
    <t>8537350</t>
  </si>
  <si>
    <t>50081844456429</t>
  </si>
  <si>
    <t>PUEL</t>
  </si>
  <si>
    <t>Briounas, Cruéjouls</t>
  </si>
  <si>
    <t>12340</t>
  </si>
  <si>
    <t>Palmas d'Aveyron</t>
  </si>
  <si>
    <t>BTA1151891</t>
  </si>
  <si>
    <t>8963200</t>
  </si>
  <si>
    <t>50014692911808</t>
  </si>
  <si>
    <t>Jean-Christophe PUEL</t>
  </si>
  <si>
    <t>jeanchristophepuel12@gmail.com</t>
  </si>
  <si>
    <t>+33677216110</t>
  </si>
  <si>
    <t>Jean-Christophe Thierry PUEL</t>
  </si>
  <si>
    <t>Cruejouls</t>
  </si>
  <si>
    <t>Briounas</t>
  </si>
  <si>
    <t>LAUNAY</t>
  </si>
  <si>
    <t>LIEU DIT LE COUDRAY</t>
  </si>
  <si>
    <t>72290</t>
  </si>
  <si>
    <t>Souligné-sous-Ballon</t>
  </si>
  <si>
    <t>BTA1087013</t>
  </si>
  <si>
    <t>8833450</t>
  </si>
  <si>
    <t>50004129157108</t>
  </si>
  <si>
    <t>Olivier LAUNAY</t>
  </si>
  <si>
    <t>gaec.dujarcoutis@outlook.fr</t>
  </si>
  <si>
    <t>+33170377661</t>
  </si>
  <si>
    <t>+33688177587</t>
  </si>
  <si>
    <t>Stockage matériel, fourrage. Abris d'animaux</t>
  </si>
  <si>
    <t>VANKATWIJK</t>
  </si>
  <si>
    <t xml:space="preserve">Bonnefond </t>
  </si>
  <si>
    <t xml:space="preserve">19200 </t>
  </si>
  <si>
    <t>Aix</t>
  </si>
  <si>
    <t>BTA0988418</t>
  </si>
  <si>
    <t>7873600</t>
  </si>
  <si>
    <t>50098488089903</t>
  </si>
  <si>
    <t>Nicolas VANKATWIJK</t>
  </si>
  <si>
    <t>nicolas.vankatwijk@gmail.com</t>
  </si>
  <si>
    <t>06 89 79 28 61</t>
  </si>
  <si>
    <t>VLADIS</t>
  </si>
  <si>
    <t>BTA1004639 | BTA1004636</t>
  </si>
  <si>
    <t>8443250 | 8442050</t>
  </si>
  <si>
    <t>50045375458652 | 50052611348650</t>
  </si>
  <si>
    <t>PDL 1 : Mise en service le 06/03/2025
PDL 2 : Mise en service le 24/06/2025</t>
  </si>
  <si>
    <t>Stabulation, stockage fourrage et matériel</t>
  </si>
  <si>
    <t>MASSE AUTOMOBILE</t>
  </si>
  <si>
    <t>ZA du Hautbois-La Pilotière</t>
  </si>
  <si>
    <t>44430</t>
  </si>
  <si>
    <t>Le Landreau</t>
  </si>
  <si>
    <t>BTA1007899</t>
  </si>
  <si>
    <t>8720950</t>
  </si>
  <si>
    <t>50002105017515</t>
  </si>
  <si>
    <t>Gildas MASSE</t>
  </si>
  <si>
    <t>masseautomobiles@orange.fr</t>
  </si>
  <si>
    <t>+33240064049</t>
  </si>
  <si>
    <t>Stockage véhicules</t>
  </si>
  <si>
    <t>PACHOUX</t>
  </si>
  <si>
    <t>CRET DU MOULIN</t>
  </si>
  <si>
    <t>42114</t>
  </si>
  <si>
    <t>Machézal</t>
  </si>
  <si>
    <t>BTA1007233 | BTA1007294</t>
  </si>
  <si>
    <t>7891800 | 7921350</t>
  </si>
  <si>
    <t>50056374175079 | 50063610065077</t>
  </si>
  <si>
    <t>Date de mise en service PDL 1: 27/02/2025
Date de mise en service PDL 2: 01/04/2025
Mot de passe onduleur : Exploitation2023</t>
  </si>
  <si>
    <t>Gaetan PACHOUX</t>
  </si>
  <si>
    <t>pachoux.gaetan@gmail.com</t>
  </si>
  <si>
    <t>+33607885299</t>
  </si>
  <si>
    <t>+33622302581</t>
  </si>
  <si>
    <t>Stabulation + stockage de matériel</t>
  </si>
  <si>
    <t>MONTIGAUD</t>
  </si>
  <si>
    <t>Lieu-dit aux Hervoits</t>
  </si>
  <si>
    <t>16210</t>
  </si>
  <si>
    <t>Bellon</t>
  </si>
  <si>
    <t>BTA1112552</t>
  </si>
  <si>
    <t>8323700</t>
  </si>
  <si>
    <t>50086762269040</t>
  </si>
  <si>
    <t>Laurent MONTIGAUD</t>
  </si>
  <si>
    <t>laurent.montigaud@hotmail.fr</t>
  </si>
  <si>
    <t>+33613323365</t>
  </si>
  <si>
    <t>Monsieur Laurent Manuel MONTIGAUD</t>
  </si>
  <si>
    <t>Lieudit Les Hervoits</t>
  </si>
  <si>
    <t>BELLON</t>
  </si>
  <si>
    <t>Stockage de matériel, stockage de paille, foin et fourrage.</t>
  </si>
  <si>
    <t>PONT DU CASSE - TENNIS</t>
  </si>
  <si>
    <t>Rue Charles de Gaulle</t>
  </si>
  <si>
    <t>47480</t>
  </si>
  <si>
    <t>Pont-du-Casse</t>
  </si>
  <si>
    <t>BTA1043884</t>
  </si>
  <si>
    <t>8943700</t>
  </si>
  <si>
    <t>50004563503831</t>
  </si>
  <si>
    <t>M.Grosel pour le service technique (0636098980)
Mme.Dulis pour le reste (0553679641)</t>
  </si>
  <si>
    <t>Janine DULIS</t>
  </si>
  <si>
    <t>janine.dulis@ville-pontducasse.fr</t>
  </si>
  <si>
    <t>accueil@ville-pontducasse.fr</t>
  </si>
  <si>
    <t>0636098980</t>
  </si>
  <si>
    <t>+33553679641</t>
  </si>
  <si>
    <t>Terrain de tennis</t>
  </si>
  <si>
    <t>Route des grands bois</t>
  </si>
  <si>
    <t>71500</t>
  </si>
  <si>
    <t>La Chapelle-Naude</t>
  </si>
  <si>
    <t>BTA1090918</t>
  </si>
  <si>
    <t>8737650</t>
  </si>
  <si>
    <t>50058254020721</t>
  </si>
  <si>
    <t>Cyrile CHEVRIER</t>
  </si>
  <si>
    <t>cyrilechevrier8@gmail.com</t>
  </si>
  <si>
    <t>+33631757031</t>
  </si>
  <si>
    <t>+33749655128</t>
  </si>
  <si>
    <t>EYMERY</t>
  </si>
  <si>
    <t>300 Chemin des Thuiles</t>
  </si>
  <si>
    <t>26400</t>
  </si>
  <si>
    <t>Soyans</t>
  </si>
  <si>
    <t>BTA0965995</t>
  </si>
  <si>
    <t>8170000</t>
  </si>
  <si>
    <t>50040890977792</t>
  </si>
  <si>
    <t>Deux bâtiments : 44.628459 , 5.006649 &amp; 44.628414 , 5.006958
Mot de passe onduleur : Exploitation2023</t>
  </si>
  <si>
    <t>Cédric EYMERY</t>
  </si>
  <si>
    <t>earldesmichalons@gmail.com</t>
  </si>
  <si>
    <t>+33682062089</t>
  </si>
  <si>
    <t>Stockage matériel, foin paille</t>
  </si>
  <si>
    <t>AUNAVE</t>
  </si>
  <si>
    <t>Les Lombards</t>
  </si>
  <si>
    <t>La Répara-Auriples</t>
  </si>
  <si>
    <t>BTA1107402</t>
  </si>
  <si>
    <t>8658200</t>
  </si>
  <si>
    <t>50032782919323</t>
  </si>
  <si>
    <t>Jacques AUNAVE</t>
  </si>
  <si>
    <t>Jacques.aunave@gmx.fr</t>
  </si>
  <si>
    <t>+33768604903</t>
  </si>
  <si>
    <t>Stockage de matériel, fourrage, foin et céréales</t>
  </si>
  <si>
    <t>GALLET</t>
  </si>
  <si>
    <t>Lieu-dit Beausoleil</t>
  </si>
  <si>
    <t>03460</t>
  </si>
  <si>
    <t>Trévol</t>
  </si>
  <si>
    <t>BTA0910033</t>
  </si>
  <si>
    <t>7791950</t>
  </si>
  <si>
    <t>50036550520720</t>
  </si>
  <si>
    <t>Sophie GALLET</t>
  </si>
  <si>
    <t>sophie.gallet@gmail.com</t>
  </si>
  <si>
    <t>+33615093712</t>
  </si>
  <si>
    <t>Monsieur Olivier Marie Jean-Charles GALLET et Madame Sophie Annie Marie BOURQUIN</t>
  </si>
  <si>
    <t xml:space="preserve"> lieu-dit Beausoleil</t>
  </si>
  <si>
    <t>TREVOL</t>
  </si>
  <si>
    <t>Carrière à chevaux, stockage de matériel, stockage de paille, foin et fourrage.</t>
  </si>
  <si>
    <t>POURTALES</t>
  </si>
  <si>
    <t>1570 Rte du Fleix</t>
  </si>
  <si>
    <t>Saint-Pierre-d'Eyraud</t>
  </si>
  <si>
    <t>BTA1120713 | BTA1120710</t>
  </si>
  <si>
    <t>8830050 | 8834850</t>
  </si>
  <si>
    <t>50001379253001 | 50030322813023</t>
  </si>
  <si>
    <t>Timothée POURTALES</t>
  </si>
  <si>
    <t>lesjardinsdubourdil@gmail.com</t>
  </si>
  <si>
    <t>+33609642921</t>
  </si>
  <si>
    <t>Stabulation + stockage de fourrage</t>
  </si>
  <si>
    <t>FUZEAU</t>
  </si>
  <si>
    <t>L'AUDOUINIERE</t>
  </si>
  <si>
    <t>79380</t>
  </si>
  <si>
    <t>Saint-Jouin-de-Milly</t>
  </si>
  <si>
    <t>285673</t>
  </si>
  <si>
    <t>576185</t>
  </si>
  <si>
    <t>285673EP1</t>
  </si>
  <si>
    <t>Guillaume FUZEAU</t>
  </si>
  <si>
    <t>guillaume-fuzeau79@orange.fr</t>
  </si>
  <si>
    <t>+33688228789</t>
  </si>
  <si>
    <t>Porcherie. Stockage de matériel, stockage de matériel, stockage de paille et foin.</t>
  </si>
  <si>
    <t>CHATEAU</t>
  </si>
  <si>
    <t>111 Rte du Gros Chêne</t>
  </si>
  <si>
    <t>24600</t>
  </si>
  <si>
    <t>Allemans</t>
  </si>
  <si>
    <t>BTA1022900</t>
  </si>
  <si>
    <t>8830950</t>
  </si>
  <si>
    <t>50066648851902</t>
  </si>
  <si>
    <t>Emmanuel Pignol</t>
  </si>
  <si>
    <t>manupignol@orange.fr</t>
  </si>
  <si>
    <t>06 78 93 98 88</t>
  </si>
  <si>
    <t>Stabulation, stockage de paille, foin et fourrage</t>
  </si>
  <si>
    <t>DUNANT</t>
  </si>
  <si>
    <t>Rue de L Hôtel de ville</t>
  </si>
  <si>
    <t xml:space="preserve">81120 </t>
  </si>
  <si>
    <t>Réalmont</t>
  </si>
  <si>
    <t>BTA1109555 |  BTA1109553</t>
  </si>
  <si>
    <t>8464950 | 8464050</t>
  </si>
  <si>
    <t>50041610912260 |  50077790362216</t>
  </si>
  <si>
    <t>Sylvain VALERO</t>
  </si>
  <si>
    <t>service.technique@realmont.fr</t>
  </si>
  <si>
    <t>commune-de-realmont81120@orange.fr</t>
  </si>
  <si>
    <t>+33602239290</t>
  </si>
  <si>
    <t>Halle</t>
  </si>
  <si>
    <t>GAEC NICOLAS</t>
  </si>
  <si>
    <t>La Chaumette</t>
  </si>
  <si>
    <t>23400</t>
  </si>
  <si>
    <t>Saint-Dizier-Masbaraud</t>
  </si>
  <si>
    <t>BTA1009736 | BTA1009492</t>
  </si>
  <si>
    <t>8747450 | 8745050</t>
  </si>
  <si>
    <t>50034955407839 | 50074463367536</t>
  </si>
  <si>
    <t>gaecnicolas23@orange.fr</t>
  </si>
  <si>
    <t>06 86 77 44 35</t>
  </si>
  <si>
    <t>Stockage de céréales</t>
  </si>
  <si>
    <t>HONNORAT</t>
  </si>
  <si>
    <t>Champ Jaubert</t>
  </si>
  <si>
    <t>04240</t>
  </si>
  <si>
    <t>Méailles</t>
  </si>
  <si>
    <t>BTA0920100</t>
  </si>
  <si>
    <t>5987800</t>
  </si>
  <si>
    <t>50085755886760</t>
  </si>
  <si>
    <t>Claudette HONNORAT</t>
  </si>
  <si>
    <t>honnoratalexandre@gmail.com</t>
  </si>
  <si>
    <t>+33620901997</t>
  </si>
  <si>
    <t>bergerie</t>
  </si>
  <si>
    <t>CROUAIL</t>
  </si>
  <si>
    <t>La Caillaouo</t>
  </si>
  <si>
    <t>32300</t>
  </si>
  <si>
    <t>Saint-Michel</t>
  </si>
  <si>
    <t>BTA0996169 | BTA0996352</t>
  </si>
  <si>
    <t>8290850 | 8313300</t>
  </si>
  <si>
    <t>50014407334067 | 50065058564089</t>
  </si>
  <si>
    <t>Morgane CROUAIL</t>
  </si>
  <si>
    <t>crouailmorgane@gmail.com</t>
  </si>
  <si>
    <t>+33671629842</t>
  </si>
  <si>
    <t>SCI Val Morgane</t>
  </si>
  <si>
    <t>Le Barbaraou LD Le Celeris</t>
  </si>
  <si>
    <t>420931933</t>
  </si>
  <si>
    <t>Manège et boxes à chevaux</t>
  </si>
  <si>
    <t>THOMAS</t>
  </si>
  <si>
    <t xml:space="preserve"> 3 Rue de la Gare</t>
  </si>
  <si>
    <t>Malause</t>
  </si>
  <si>
    <t>BTA1020981</t>
  </si>
  <si>
    <t>8255800</t>
  </si>
  <si>
    <t>50029456244603</t>
  </si>
  <si>
    <t>Pierre-Marc THOMAS</t>
  </si>
  <si>
    <t>thomasfilsmenuiserie@outlook.fr</t>
  </si>
  <si>
    <t>06 76 93 30 44</t>
  </si>
  <si>
    <t>METALR</t>
  </si>
  <si>
    <t>SCI Pimlea</t>
  </si>
  <si>
    <t>Lieudit le Bellet</t>
  </si>
  <si>
    <t>Montesquieu</t>
  </si>
  <si>
    <t>851030262</t>
  </si>
  <si>
    <t>Fabrication fenêtres</t>
  </si>
  <si>
    <t>BERTELOOT</t>
  </si>
  <si>
    <t>127 Lieu Dit les Cleris</t>
  </si>
  <si>
    <t>89150</t>
  </si>
  <si>
    <t>Vernoy</t>
  </si>
  <si>
    <t>BTA0997051</t>
  </si>
  <si>
    <t>8389400</t>
  </si>
  <si>
    <t>50003261893785</t>
  </si>
  <si>
    <t>Benoit BERTELOOT</t>
  </si>
  <si>
    <t>benoitberteloot@orange.fr</t>
  </si>
  <si>
    <t>+33679963396</t>
  </si>
  <si>
    <t>Stockage de matériel, Stockage de céréales à plat exclusivement et dans la stricte limite de 50% de la surface au sol du bâtiment, Stockage de paille, foin et fourrage, saisonnier ou non, dans la stricte limite de 50 % maximum de la surface au sol du bâtiment et en laissant un espace de 2 mètres au minimum entre le sommet de la dernière botte et la toiture</t>
  </si>
  <si>
    <t>DUMONT</t>
  </si>
  <si>
    <t>Les Sabots</t>
  </si>
  <si>
    <t>BTA0913728</t>
  </si>
  <si>
    <t>6243750</t>
  </si>
  <si>
    <t>50072007186224</t>
  </si>
  <si>
    <t>GUY DUMONT</t>
  </si>
  <si>
    <t>guy03230@gmail.com</t>
  </si>
  <si>
    <t>0618268576</t>
  </si>
  <si>
    <t>Michel Bernard DUMONT</t>
  </si>
  <si>
    <t>Stabulation, Stockage de matériel, céréales, paille, foin et fourrage jusqu'à 50%</t>
  </si>
  <si>
    <t>MANENC</t>
  </si>
  <si>
    <t>Les Cladisses</t>
  </si>
  <si>
    <t>Les Ternes</t>
  </si>
  <si>
    <t>BTA1018795</t>
  </si>
  <si>
    <t>7885250</t>
  </si>
  <si>
    <t>50051597386352</t>
  </si>
  <si>
    <t>Serge MANENC</t>
  </si>
  <si>
    <t>serge.manenc@orange.fr</t>
  </si>
  <si>
    <t>+33788095623</t>
  </si>
  <si>
    <t>Stabulation, stockage de matériel, paille, foin et fourrage</t>
  </si>
  <si>
    <t>SCI BAJAT</t>
  </si>
  <si>
    <t>Brachez Sud Le Buron</t>
  </si>
  <si>
    <t>38780</t>
  </si>
  <si>
    <t>Eyzin-Pinet</t>
  </si>
  <si>
    <t>BTA0915323 | BTA0915333</t>
  </si>
  <si>
    <t>8443600 | 8449000</t>
  </si>
  <si>
    <t>50004422769912 | 50091971299491</t>
  </si>
  <si>
    <t>Augustin BAJAT</t>
  </si>
  <si>
    <t>a.bajat@bajat.eu</t>
  </si>
  <si>
    <t>+33783591821</t>
  </si>
  <si>
    <t>GIRIN</t>
  </si>
  <si>
    <t>2688 Rte de Saint-Quentin</t>
  </si>
  <si>
    <t>38430</t>
  </si>
  <si>
    <t>Moirans</t>
  </si>
  <si>
    <t>BTA1111682</t>
  </si>
  <si>
    <t>8888600</t>
  </si>
  <si>
    <t>50098919316605</t>
  </si>
  <si>
    <t>Kévin GIRIN</t>
  </si>
  <si>
    <t>girin.kevin@hotmail.com</t>
  </si>
  <si>
    <t>+33673859922</t>
  </si>
  <si>
    <t>MONTHEIL</t>
  </si>
  <si>
    <t>Lieu dit Auriac</t>
  </si>
  <si>
    <t>24150</t>
  </si>
  <si>
    <t>Calès</t>
  </si>
  <si>
    <t>BTA1006767</t>
  </si>
  <si>
    <t>8104150</t>
  </si>
  <si>
    <t>50010064592072</t>
  </si>
  <si>
    <t>Marie-Therese MONTHEIL</t>
  </si>
  <si>
    <t>fabienmontheil12@gmail.com</t>
  </si>
  <si>
    <t>+33612215840</t>
  </si>
  <si>
    <t>HELLIOS ENERGIES</t>
  </si>
  <si>
    <t>Matériel + fourrage</t>
  </si>
  <si>
    <t>MOLINIER</t>
  </si>
  <si>
    <t>Lieu-dit Garrigues</t>
  </si>
  <si>
    <t>12800</t>
  </si>
  <si>
    <t>Saint-Just-sur-Viaur</t>
  </si>
  <si>
    <t>BTA1359791</t>
  </si>
  <si>
    <t>8549100</t>
  </si>
  <si>
    <t>50004275326099</t>
  </si>
  <si>
    <t>Sylvain MOLINIER</t>
  </si>
  <si>
    <t>sylvain.molinier12@gmail.com</t>
  </si>
  <si>
    <t>+33673594746</t>
  </si>
  <si>
    <t>Monsieur Sylvain Vincent Lionel MOLINIER</t>
  </si>
  <si>
    <t>Garrigues</t>
  </si>
  <si>
    <t>SAINT-JUST-SUR-VIAUR</t>
  </si>
  <si>
    <t>12170</t>
  </si>
  <si>
    <t>OURNAC</t>
  </si>
  <si>
    <t>La Nougarède</t>
  </si>
  <si>
    <t>11150</t>
  </si>
  <si>
    <t>Villasavary</t>
  </si>
  <si>
    <t>BTA1090618</t>
  </si>
  <si>
    <t>8829550</t>
  </si>
  <si>
    <t>50056805961750</t>
  </si>
  <si>
    <t>Jean-Francois OURNAC</t>
  </si>
  <si>
    <t>sarl.ournac@wanadoo.fr</t>
  </si>
  <si>
    <t>+33610492377</t>
  </si>
  <si>
    <t>SCI Nougarouest</t>
  </si>
  <si>
    <t>Lieudit Les Agals</t>
  </si>
  <si>
    <t>812052827</t>
  </si>
  <si>
    <t>Stockage gros matériel + stockage semence + atelier</t>
  </si>
  <si>
    <t>MAYMAT</t>
  </si>
  <si>
    <t>Les Sorreaux</t>
  </si>
  <si>
    <t>03400</t>
  </si>
  <si>
    <t>Toulon-sur-Allier</t>
  </si>
  <si>
    <t>BTA097299</t>
  </si>
  <si>
    <t>6213450</t>
  </si>
  <si>
    <t>50084597630557</t>
  </si>
  <si>
    <t>Clés Growatt au sein du coffret AC</t>
  </si>
  <si>
    <t>Elisabeth MAYMAT</t>
  </si>
  <si>
    <t>elisamaymat@yahoo.fr</t>
  </si>
  <si>
    <t>+33689984396</t>
  </si>
  <si>
    <t>548 Route de Marignac</t>
  </si>
  <si>
    <t>31430</t>
  </si>
  <si>
    <t>Gratens</t>
  </si>
  <si>
    <t>BTA1020928</t>
  </si>
  <si>
    <t>8904950</t>
  </si>
  <si>
    <t>50027285241119</t>
  </si>
  <si>
    <t>Joel TOURNIER</t>
  </si>
  <si>
    <t>joel-tournier@orange.fr</t>
  </si>
  <si>
    <t>+33688144899</t>
  </si>
  <si>
    <t>Joël Sylvain TOURNIER</t>
  </si>
  <si>
    <t>181 chemin d'Argeles</t>
  </si>
  <si>
    <t>MARIGNAC-LASCLARES</t>
  </si>
  <si>
    <t>PUJOL</t>
  </si>
  <si>
    <t>LAS ROQUOS - Stade municipal "Jean Barthe"</t>
  </si>
  <si>
    <t>11620</t>
  </si>
  <si>
    <t>Villemoustaussou</t>
  </si>
  <si>
    <t>BTA1010229</t>
  </si>
  <si>
    <t>8198550</t>
  </si>
  <si>
    <t>50061728219385</t>
  </si>
  <si>
    <t>Laurie PUJOL</t>
  </si>
  <si>
    <t>dgs@villemoustaussou.fr</t>
  </si>
  <si>
    <t>+33670643674</t>
  </si>
  <si>
    <t>Stade</t>
  </si>
  <si>
    <t>SIMMONET</t>
  </si>
  <si>
    <t>L'Étang Fouché</t>
  </si>
  <si>
    <t>Paray-le-Frésil</t>
  </si>
  <si>
    <t>BTA0930413</t>
  </si>
  <si>
    <t>7697900</t>
  </si>
  <si>
    <t>50039010052003</t>
  </si>
  <si>
    <t>Mot de passe onduleur 1 : Explotation2023
Mot de passe onduleur 2 : Exploitation2023</t>
  </si>
  <si>
    <t>Angelina SIMMONET</t>
  </si>
  <si>
    <t>angelina.simmonet@orange.fr</t>
  </si>
  <si>
    <t>+33680028767</t>
  </si>
  <si>
    <t>élevage bovins, ovins, stockage de matériel et de paille, foin, fourrage</t>
  </si>
  <si>
    <t>MARGHELLA - BELLE</t>
  </si>
  <si>
    <t>620 Chemin de Saint-Jean</t>
  </si>
  <si>
    <t>Chatuzange-le-Goubet</t>
  </si>
  <si>
    <t>BTA0998493</t>
  </si>
  <si>
    <t>8565100</t>
  </si>
  <si>
    <t>50007315197908</t>
  </si>
  <si>
    <t>Séverine BELLE</t>
  </si>
  <si>
    <t>theomb26300@outlook.fr</t>
  </si>
  <si>
    <t>+33659467495</t>
  </si>
  <si>
    <t>GAYET</t>
  </si>
  <si>
    <t>Rte de la Gondolière</t>
  </si>
  <si>
    <t>69930</t>
  </si>
  <si>
    <t>Saint-Laurent-de-Chamousset</t>
  </si>
  <si>
    <t>BTA1013808 | BTA1013811</t>
  </si>
  <si>
    <t>8381850 | 8712500</t>
  </si>
  <si>
    <t>50070122340544 | 50005722920076</t>
  </si>
  <si>
    <t>Pierre-Julien GAYET</t>
  </si>
  <si>
    <t>pierrejulien.gayet@gmail.com</t>
  </si>
  <si>
    <t>+33616195410</t>
  </si>
  <si>
    <t>+33669238157</t>
  </si>
  <si>
    <t>Entrainement de chevaux</t>
  </si>
  <si>
    <t>DAN LIKAJ</t>
  </si>
  <si>
    <t>Rte de Gap</t>
  </si>
  <si>
    <t>04200</t>
  </si>
  <si>
    <t>Sisteron</t>
  </si>
  <si>
    <t>BTA1032713</t>
  </si>
  <si>
    <t>7865050</t>
  </si>
  <si>
    <t>50033798046648</t>
  </si>
  <si>
    <t>Mot de passe onduleur 1 : Changeme123huawei
Mot de passe onduleur 2 : Exploitation2023</t>
  </si>
  <si>
    <t>Dan LIKAJ</t>
  </si>
  <si>
    <t>likajdan@hotmail.com</t>
  </si>
  <si>
    <t>+33665502994</t>
  </si>
  <si>
    <t>Monsieur Dan LIKAJ</t>
  </si>
  <si>
    <t>60 route de Gap</t>
  </si>
  <si>
    <t>SISTERON</t>
  </si>
  <si>
    <t>Stabulation vaches - Stockage foin, céréales et matériel</t>
  </si>
  <si>
    <t>Lieudit Les Ribières</t>
  </si>
  <si>
    <t>BTA1030849 | BTA1030733</t>
  </si>
  <si>
    <t>8673600 | 8675600</t>
  </si>
  <si>
    <t>50064622547389 | 50023812127500</t>
  </si>
  <si>
    <t>Mot de passe onduleur : Exploitation2023
Mise en service PDL 2 : 04/02/2025</t>
  </si>
  <si>
    <t>Stockage de matériel agricole + céréales + stabulation</t>
  </si>
  <si>
    <t>SEYTRE</t>
  </si>
  <si>
    <t>210 Chemin des Alouettes</t>
  </si>
  <si>
    <t>38440</t>
  </si>
  <si>
    <t>Châtonnay</t>
  </si>
  <si>
    <t>BTA1014490 | BTA1014501</t>
  </si>
  <si>
    <t>7731300 | 7728950</t>
  </si>
  <si>
    <t>50056663012869 | 50056807731721</t>
  </si>
  <si>
    <t>SYLVAIN SEYTRE</t>
  </si>
  <si>
    <t>ecuriesdeseffeuillers@hotmail.fr</t>
  </si>
  <si>
    <t>+33662678832</t>
  </si>
  <si>
    <t>Monsieur Sylvain SEYTRE</t>
  </si>
  <si>
    <t>210 chemin des Alouettes</t>
  </si>
  <si>
    <t>CHATONNAY</t>
  </si>
  <si>
    <t>MIGNARD</t>
  </si>
  <si>
    <t>Chemin de Rieux</t>
  </si>
  <si>
    <t>BTA0912198</t>
  </si>
  <si>
    <t>7814700</t>
  </si>
  <si>
    <t>50032642120445</t>
  </si>
  <si>
    <t>Christian MIGNARD</t>
  </si>
  <si>
    <t>christianmignard@icloud.com</t>
  </si>
  <si>
    <t>0670884657</t>
  </si>
  <si>
    <t>0674233354</t>
  </si>
  <si>
    <t>Stockage de matériel, cuve à gasoil, stockage de produits phytosanitaires</t>
  </si>
  <si>
    <t>PIGNOL</t>
  </si>
  <si>
    <t>Lieu-dit Lou Theroum</t>
  </si>
  <si>
    <t>48270</t>
  </si>
  <si>
    <t>Prinsuéjols-Malbouzon</t>
  </si>
  <si>
    <t>BTA0912417</t>
  </si>
  <si>
    <t>7814300</t>
  </si>
  <si>
    <t>50094434445726</t>
  </si>
  <si>
    <t>Emmanuel PIGNOL</t>
  </si>
  <si>
    <t>COMMUNE CAZILHAC TENNIS - CARVAJAL</t>
  </si>
  <si>
    <t>Avenue du Stade</t>
  </si>
  <si>
    <t>11570</t>
  </si>
  <si>
    <t>Cazilhac</t>
  </si>
  <si>
    <t>COT</t>
  </si>
  <si>
    <t>BTA0913092</t>
  </si>
  <si>
    <t>7588250</t>
  </si>
  <si>
    <t>50051889999164</t>
  </si>
  <si>
    <t>Toni CARVAJAL</t>
  </si>
  <si>
    <t>tonio.1976@hotmail.fr</t>
  </si>
  <si>
    <t>+33635555627</t>
  </si>
  <si>
    <t>+33468796023</t>
  </si>
  <si>
    <t xml:space="preserve">METALR </t>
  </si>
  <si>
    <t>MEERMAN</t>
  </si>
  <si>
    <t>Montlebeau</t>
  </si>
  <si>
    <t>Vareilles</t>
  </si>
  <si>
    <t>BTA1030002</t>
  </si>
  <si>
    <t>8583050</t>
  </si>
  <si>
    <t>50082130734205</t>
  </si>
  <si>
    <t>Marc MEERMAN</t>
  </si>
  <si>
    <t>jeanetterolden@aol.com</t>
  </si>
  <si>
    <t>+33 6 87 17 85 15</t>
  </si>
  <si>
    <t>Marcus MEERMAN</t>
  </si>
  <si>
    <t>1, Montlebeau</t>
  </si>
  <si>
    <t>BOUTANNE</t>
  </si>
  <si>
    <t>Roussille</t>
  </si>
  <si>
    <t>BTA1020612</t>
  </si>
  <si>
    <t>8150200</t>
  </si>
  <si>
    <t>50074608331450</t>
  </si>
  <si>
    <t>Patrick BOUTANNE</t>
  </si>
  <si>
    <t>boutanne@aol.com</t>
  </si>
  <si>
    <t>+33612295728</t>
  </si>
  <si>
    <t>La Reyre</t>
  </si>
  <si>
    <t>MONTAGNAC-SUR-AUVIGNON</t>
  </si>
  <si>
    <t>Stockage matériel // Stockage de céréales, à plat exclusivement et dans la stricte limite de 50% maximum de la surface au sol du bâtiment et en laissant un espace de 2 mètres au min entre le sommet de la dernière botte et la toiture</t>
  </si>
  <si>
    <t>SCI LOU PIN - IAHN</t>
  </si>
  <si>
    <t>48 rue SAUTAROCH</t>
  </si>
  <si>
    <t>34560</t>
  </si>
  <si>
    <t>Villeveyrac</t>
  </si>
  <si>
    <t>BTA1026539</t>
  </si>
  <si>
    <t>7773350</t>
  </si>
  <si>
    <t>50073304891371</t>
  </si>
  <si>
    <t>Johnny IAHN</t>
  </si>
  <si>
    <t>johnny.iahn@wanadoo.fr</t>
  </si>
  <si>
    <t>+33686762265</t>
  </si>
  <si>
    <t>SCI Lou Pins</t>
  </si>
  <si>
    <t>Le Mas des Pins</t>
  </si>
  <si>
    <t>413550849</t>
  </si>
  <si>
    <t>Stockage matériel de terrassement et de TP</t>
  </si>
  <si>
    <t>LABIT</t>
  </si>
  <si>
    <t>Lieu-dit Le Puech</t>
  </si>
  <si>
    <t>12410</t>
  </si>
  <si>
    <t>Salles-Curan</t>
  </si>
  <si>
    <t>BTA0928994 | BTA0929007</t>
  </si>
  <si>
    <t>7945750 | 7777250</t>
  </si>
  <si>
    <t>50052463369730 | 50023519809720</t>
  </si>
  <si>
    <t>3 Bâtiments
Mode de passe onduleur : Exploitation2023</t>
  </si>
  <si>
    <t>Jean-Paul LABIT</t>
  </si>
  <si>
    <t>labit.jpn@orange.fr</t>
  </si>
  <si>
    <t>+33681714205</t>
  </si>
  <si>
    <t>LOUBIERE</t>
  </si>
  <si>
    <t>Bergerie</t>
  </si>
  <si>
    <t>DE CHEVIGNY</t>
  </si>
  <si>
    <t>Rte de l'Espérance</t>
  </si>
  <si>
    <t>BTA1032705</t>
  </si>
  <si>
    <t>8014050</t>
  </si>
  <si>
    <t>50031481769205</t>
  </si>
  <si>
    <t>Jean-Hugues DE CHEVIGNY</t>
  </si>
  <si>
    <t>laperrigne@orange.fr</t>
  </si>
  <si>
    <t>0619605567</t>
  </si>
  <si>
    <t>Madame Bella Colombe Marie de PLANTA de  WILDENBERG</t>
  </si>
  <si>
    <t>La Perrigne</t>
  </si>
  <si>
    <t>SAINT-CORNEILLE</t>
  </si>
  <si>
    <t>Boxes, manège. Stockage matériel et fourrage et céréales.</t>
  </si>
  <si>
    <t>BURGAT ET FILS TP</t>
  </si>
  <si>
    <t>La Plaine</t>
  </si>
  <si>
    <t>11300</t>
  </si>
  <si>
    <t>Cournanel</t>
  </si>
  <si>
    <t>BTA1106531</t>
  </si>
  <si>
    <t>8093100</t>
  </si>
  <si>
    <t>50097617636583</t>
  </si>
  <si>
    <t>L'entreprise ferme à 18h. Ne pas intervenir en période de fête.</t>
  </si>
  <si>
    <t>Kevin BURGAT</t>
  </si>
  <si>
    <t>kevin.burgat@burgattp.fr</t>
  </si>
  <si>
    <t>0681124570</t>
  </si>
  <si>
    <t>0468312613</t>
  </si>
  <si>
    <t>Rea Rénov</t>
  </si>
  <si>
    <t>SCI K &amp; R</t>
  </si>
  <si>
    <t>2 Promenade Fount Vieille</t>
  </si>
  <si>
    <t>Roquetaillade-et-Conilhac</t>
  </si>
  <si>
    <t>11190</t>
  </si>
  <si>
    <t>524449535</t>
  </si>
  <si>
    <t>Gestion de biens mobiliers et immobiliers</t>
  </si>
  <si>
    <t>COMMUNE DE REALMONT CENTRE TECHNIQUE - VALERO</t>
  </si>
  <si>
    <t>LA PRADE</t>
  </si>
  <si>
    <t>81120</t>
  </si>
  <si>
    <t>BTA0997863</t>
  </si>
  <si>
    <t>8009700</t>
  </si>
  <si>
    <t>50022510907407</t>
  </si>
  <si>
    <t>0607239651</t>
  </si>
  <si>
    <t>Commune de Realmont</t>
  </si>
  <si>
    <t>Industriel</t>
  </si>
  <si>
    <t>BITEAU</t>
  </si>
  <si>
    <t>Lieu-dit CHAMPS CLAIRS</t>
  </si>
  <si>
    <t>17250</t>
  </si>
  <si>
    <t>Sainte-Gemme</t>
  </si>
  <si>
    <t>BTA1019608</t>
  </si>
  <si>
    <t>8320550</t>
  </si>
  <si>
    <t>50084304297725</t>
  </si>
  <si>
    <t>Karl BITEAU</t>
  </si>
  <si>
    <t>karl17120@gmail.com</t>
  </si>
  <si>
    <t>0778638738</t>
  </si>
  <si>
    <t>GFA De La Vallee de Berthegille</t>
  </si>
  <si>
    <t>LD Berthegille</t>
  </si>
  <si>
    <t>SABLONCEAUX</t>
  </si>
  <si>
    <t>17600</t>
  </si>
  <si>
    <t>402420129</t>
  </si>
  <si>
    <t>Stabulation, stockage matériel, stockage paille foin et fourrage.</t>
  </si>
  <si>
    <t>COMMUNE DE REALMONT TENNIS - VIAULES</t>
  </si>
  <si>
    <t>Lieu dit Lamelouze - Rue de l'hôtel de ville</t>
  </si>
  <si>
    <t>BTA0963353</t>
  </si>
  <si>
    <t>7832200</t>
  </si>
  <si>
    <t>50052034688053</t>
  </si>
  <si>
    <t>Henri VIAULES</t>
  </si>
  <si>
    <t>tcrealmont@gmail.com</t>
  </si>
  <si>
    <t>0602239290</t>
  </si>
  <si>
    <t>3, Rue de l'Hotel de Ville</t>
  </si>
  <si>
    <t>Realmont</t>
  </si>
  <si>
    <t>TENNIS</t>
  </si>
  <si>
    <t>PONT DU CASSE - HALLE</t>
  </si>
  <si>
    <t>BTA1044087</t>
  </si>
  <si>
    <t>8138850</t>
  </si>
  <si>
    <t>50082855833777</t>
  </si>
  <si>
    <t>0553679641</t>
  </si>
  <si>
    <t>Halle marché couvert, vide grenier, vie associative</t>
  </si>
  <si>
    <t>LONG</t>
  </si>
  <si>
    <t>La Cassine</t>
  </si>
  <si>
    <t>04310</t>
  </si>
  <si>
    <t>Peyruis</t>
  </si>
  <si>
    <t>BTA1029318 | BTA1029321</t>
  </si>
  <si>
    <t>8237500 | 8238050</t>
  </si>
  <si>
    <t>50037126706343 | 50029890816341</t>
  </si>
  <si>
    <t>Didier LONG</t>
  </si>
  <si>
    <t>didier.long@transports-bremond.fr</t>
  </si>
  <si>
    <t>0492686800</t>
  </si>
  <si>
    <t>0672899907</t>
  </si>
  <si>
    <t>EURL D B Long Investissements</t>
  </si>
  <si>
    <t>Parc d'Activites de la Cassine, Avenue de la Seve</t>
  </si>
  <si>
    <t>503309841</t>
  </si>
  <si>
    <t>Transport</t>
  </si>
  <si>
    <t>MOURGUES</t>
  </si>
  <si>
    <t>Mondounet - Fargues</t>
  </si>
  <si>
    <t>46800</t>
  </si>
  <si>
    <t>Porte-du-Quercy</t>
  </si>
  <si>
    <t>BTA1007500</t>
  </si>
  <si>
    <t>7809700</t>
  </si>
  <si>
    <t>50099355408344</t>
  </si>
  <si>
    <t>Pierre MOURGUES</t>
  </si>
  <si>
    <t>gaec.thirondel@46.sideral.fr</t>
  </si>
  <si>
    <t>06 43 43 71 86</t>
  </si>
  <si>
    <t>Stabulation (50%), Stockage matériel (25%), Stockage fourrage (25%)</t>
  </si>
  <si>
    <t>GAEC DE L'AUMÔNE</t>
  </si>
  <si>
    <t>L'Aumône</t>
  </si>
  <si>
    <t>72510</t>
  </si>
  <si>
    <t>Mansigné</t>
  </si>
  <si>
    <t>BTA1051862</t>
  </si>
  <si>
    <t>8548950</t>
  </si>
  <si>
    <t>50036691794691</t>
  </si>
  <si>
    <t>RAS
Présence d'un chien Berger Allemand sur site</t>
  </si>
  <si>
    <t>JOËL DUBOIS</t>
  </si>
  <si>
    <t>gaecdelaumone@live.fr</t>
  </si>
  <si>
    <t>0241527959</t>
  </si>
  <si>
    <t>0633187899</t>
  </si>
  <si>
    <t>Joël DUBOIS</t>
  </si>
  <si>
    <t>lieu-dit  L'aumône</t>
  </si>
  <si>
    <t>MANSIGNE</t>
  </si>
  <si>
    <t>Matériel + fourrage + stabulation pour génisses</t>
  </si>
  <si>
    <t>MAGE</t>
  </si>
  <si>
    <t>Broussoles</t>
  </si>
  <si>
    <t>46210</t>
  </si>
  <si>
    <t>Montet-et-Bouxal</t>
  </si>
  <si>
    <t>BTA1320190</t>
  </si>
  <si>
    <t>8183050</t>
  </si>
  <si>
    <t>50015852818075</t>
  </si>
  <si>
    <t>Bernard MAGE</t>
  </si>
  <si>
    <t>bernardmage@hotmail.fr</t>
  </si>
  <si>
    <t>06 80 62 49 34</t>
  </si>
  <si>
    <t>BUCK AND CO</t>
  </si>
  <si>
    <t>Lieudit Broussolles</t>
  </si>
  <si>
    <t>MONTET-ET-BOUXAL</t>
  </si>
  <si>
    <t>Stockage de matériel + fourrage</t>
  </si>
  <si>
    <t>CASTANET</t>
  </si>
  <si>
    <t>LOU CHAMPAS</t>
  </si>
  <si>
    <t xml:space="preserve">43370 </t>
  </si>
  <si>
    <t>Solignac-sur-Loire</t>
  </si>
  <si>
    <t>BTA1014599</t>
  </si>
  <si>
    <t>7884650</t>
  </si>
  <si>
    <t>50079382930107</t>
  </si>
  <si>
    <t>Guillaume CASTANET</t>
  </si>
  <si>
    <t>guillaumec43@gmail.com</t>
  </si>
  <si>
    <t>07 84 95 49 09</t>
  </si>
  <si>
    <t>Montagnac</t>
  </si>
  <si>
    <t xml:space="preserve"> SOLIGNAC-SUR-LOIRE</t>
  </si>
  <si>
    <t>43370</t>
  </si>
  <si>
    <t>Stabulation, stockage paille, foin et fourrage</t>
  </si>
  <si>
    <t>ROSSI - SAS POLE EUROPEEN DU CHEVAL</t>
  </si>
  <si>
    <t>Lieu dit la Vieillerie</t>
  </si>
  <si>
    <t>72530</t>
  </si>
  <si>
    <t>Yvré l’Evêque</t>
  </si>
  <si>
    <t>BTA0929222 | BTA0929163</t>
  </si>
  <si>
    <t>8231250 | 8233400</t>
  </si>
  <si>
    <t>50020921564539 | 50023526484708</t>
  </si>
  <si>
    <t>Philippe ROSSI</t>
  </si>
  <si>
    <t>p.rossi@pec-lemans.com</t>
  </si>
  <si>
    <t>0243896693</t>
  </si>
  <si>
    <t>SAS Pole Europeen du Cheval</t>
  </si>
  <si>
    <t>Les Bouleries</t>
  </si>
  <si>
    <t>YVRE-L'EVEQUE</t>
  </si>
  <si>
    <t>339765588</t>
  </si>
  <si>
    <t>Boxes à chevaux</t>
  </si>
  <si>
    <t>CANTET</t>
  </si>
  <si>
    <t>Le Riveau</t>
  </si>
  <si>
    <t>79340</t>
  </si>
  <si>
    <t>Vasles</t>
  </si>
  <si>
    <t>286082</t>
  </si>
  <si>
    <t>565906</t>
  </si>
  <si>
    <t>042436370688</t>
  </si>
  <si>
    <t>Emmanuel CANTET</t>
  </si>
  <si>
    <t>manucantet@live.fr</t>
  </si>
  <si>
    <t>0677895262</t>
  </si>
  <si>
    <t>EARL La Ferme Des Pres</t>
  </si>
  <si>
    <t>885076695</t>
  </si>
  <si>
    <t>Stockage de matériel 70% et de fourrage 30%</t>
  </si>
  <si>
    <t>BACH</t>
  </si>
  <si>
    <t>Pech Laquet</t>
  </si>
  <si>
    <t>46170</t>
  </si>
  <si>
    <t>Saint-Paul-Flaugnac</t>
  </si>
  <si>
    <t>BTA0989272</t>
  </si>
  <si>
    <t>7927750</t>
  </si>
  <si>
    <t>50012670097231</t>
  </si>
  <si>
    <t>Michel RESSEGUIER</t>
  </si>
  <si>
    <t>michelresseguier@sfr.fr</t>
  </si>
  <si>
    <t>+33 6 43 47 93 36</t>
  </si>
  <si>
    <t>Commune de Saint-Paul-Flaugnac</t>
  </si>
  <si>
    <t>Le Bourg</t>
  </si>
  <si>
    <t>ROULEAU</t>
  </si>
  <si>
    <t>Rue Du Puech</t>
  </si>
  <si>
    <t xml:space="preserve">30310 </t>
  </si>
  <si>
    <t>Vergèze</t>
  </si>
  <si>
    <t>BTA1003820</t>
  </si>
  <si>
    <t>8131100</t>
  </si>
  <si>
    <t>50068530732697</t>
  </si>
  <si>
    <t>Patrick ROULEAU</t>
  </si>
  <si>
    <t>srouleau@a4cm.net</t>
  </si>
  <si>
    <t>g.ragueneau@sitec34.com</t>
  </si>
  <si>
    <t>06 70 71 30 71</t>
  </si>
  <si>
    <t>SYNDICAT DES COPROPRIETAIRES DE L'IMMEUBLE SIS A
VERGEZE 197 RUE DU PUECH</t>
  </si>
  <si>
    <t>197 rue du Puech</t>
  </si>
  <si>
    <t>VERGEZE</t>
  </si>
  <si>
    <t>30310</t>
  </si>
  <si>
    <t>Bureaux entreprise</t>
  </si>
  <si>
    <t>JACOLIN</t>
  </si>
  <si>
    <t>250 Route du Guichard</t>
  </si>
  <si>
    <t>38140</t>
  </si>
  <si>
    <t>Réaumont</t>
  </si>
  <si>
    <t>BTA1004688</t>
  </si>
  <si>
    <t>8412600</t>
  </si>
  <si>
    <t>50099066320599</t>
  </si>
  <si>
    <t>Hubert JACOLIN</t>
  </si>
  <si>
    <t>h.jacolin@orange.fr</t>
  </si>
  <si>
    <t>0629535402</t>
  </si>
  <si>
    <t>Stockage de matériel et Stockage de paille, foin et fourrage, saisonnier ou non, dans la stricte limite de 50 % maximum de la surface au sol du bâtiment et en laissant un espace de 2 mètres au minimum entre le sommet de la dernière botte et la toiture</t>
  </si>
  <si>
    <t>FREYSSIGNET</t>
  </si>
  <si>
    <t xml:space="preserve">Chemin de grandefon </t>
  </si>
  <si>
    <t xml:space="preserve">24130 </t>
  </si>
  <si>
    <t>Monfaucon</t>
  </si>
  <si>
    <t>BTA0968040</t>
  </si>
  <si>
    <t>7789950</t>
  </si>
  <si>
    <t>50089082091403</t>
  </si>
  <si>
    <t>Thomas FREYSSIGNET</t>
  </si>
  <si>
    <t>freyssignetthomas@gmail.com</t>
  </si>
  <si>
    <t>06 21 49 92 52</t>
  </si>
  <si>
    <t>Stabulation, chèvrerie, sotckage de matériel, stockage de paille, foin et fourrage</t>
  </si>
  <si>
    <t>THIELENS</t>
  </si>
  <si>
    <t>le Chalaure Est</t>
  </si>
  <si>
    <t>33230</t>
  </si>
  <si>
    <t>Les Églisottes-et-Chalaures</t>
  </si>
  <si>
    <t>BTA1004845</t>
  </si>
  <si>
    <t>7954900</t>
  </si>
  <si>
    <t>50045665411450</t>
  </si>
  <si>
    <t>Sabaya THIELENS</t>
  </si>
  <si>
    <t>sabayathielens@gmail.com</t>
  </si>
  <si>
    <t>06 88 07 13 97</t>
  </si>
  <si>
    <t>COMMUNE DE MANSAC</t>
  </si>
  <si>
    <t>Rue Principale</t>
  </si>
  <si>
    <t xml:space="preserve">19520 </t>
  </si>
  <si>
    <t>Mansac</t>
  </si>
  <si>
    <t>BTA1022447</t>
  </si>
  <si>
    <t>8092300</t>
  </si>
  <si>
    <t>50016720821408</t>
  </si>
  <si>
    <t>Isabelle  DAVID</t>
  </si>
  <si>
    <t>mairie.mansac@orange.fr</t>
  </si>
  <si>
    <t>06 38 17 10 21</t>
  </si>
  <si>
    <t>Commune de Mansac</t>
  </si>
  <si>
    <t>19520</t>
  </si>
  <si>
    <t>Stockage du matériel nécessaire à la commune de MANSAC</t>
  </si>
  <si>
    <t>BONNAUDEAU</t>
  </si>
  <si>
    <t>Chez Sabourin "Le Brizard Sud"</t>
  </si>
  <si>
    <t xml:space="preserve">17520 </t>
  </si>
  <si>
    <t>Arthenac</t>
  </si>
  <si>
    <t>BTA0957154</t>
  </si>
  <si>
    <t>7865700</t>
  </si>
  <si>
    <t>50067665019205</t>
  </si>
  <si>
    <t>Franck BONNAUDEAU</t>
  </si>
  <si>
    <t>veroniquebonnaudeau@gmail.com</t>
  </si>
  <si>
    <t>06 09 55 01 84</t>
  </si>
  <si>
    <t>Stockage de matériel (véhicules)</t>
  </si>
  <si>
    <t>Les Moulières</t>
  </si>
  <si>
    <t xml:space="preserve">23240 </t>
  </si>
  <si>
    <t>BTA1001248 | BTA1001265</t>
  </si>
  <si>
    <t>8386850 | 8459250</t>
  </si>
  <si>
    <t>50065632819647 | 50039298519814</t>
  </si>
  <si>
    <t>Emmanuel  DUMON</t>
  </si>
  <si>
    <t>0602720021</t>
  </si>
  <si>
    <t>Stabulation, stockage de matériel, de fourrage</t>
  </si>
  <si>
    <t>ECURIES DES REFLETS - BILLY</t>
  </si>
  <si>
    <t>15 Route de l'Église</t>
  </si>
  <si>
    <t>27290</t>
  </si>
  <si>
    <t>Thierville</t>
  </si>
  <si>
    <t>BTA0973448</t>
  </si>
  <si>
    <t>7970950</t>
  </si>
  <si>
    <t>50016144520889</t>
  </si>
  <si>
    <t xml:space="preserve"> Vincent BILLY</t>
  </si>
  <si>
    <t>ecuriedesreflets@live.fr</t>
  </si>
  <si>
    <t>0662079032</t>
  </si>
  <si>
    <t>Vincent BILLY</t>
  </si>
  <si>
    <t>15, route de l'Eglise</t>
  </si>
  <si>
    <t>RAMEAUX</t>
  </si>
  <si>
    <t>62 Chemin de Vignolles</t>
  </si>
  <si>
    <t xml:space="preserve">64300 </t>
  </si>
  <si>
    <t>Castétis</t>
  </si>
  <si>
    <t>BTA0937048 | BTA0937059</t>
  </si>
  <si>
    <t>7802500 | 7803550</t>
  </si>
  <si>
    <t>50028880339004 | 50041470788309</t>
  </si>
  <si>
    <t>FABIEN RAMEAUX</t>
  </si>
  <si>
    <t>fabien.rameaux@club-internet.fr</t>
  </si>
  <si>
    <t>06 85 01 97 18</t>
  </si>
  <si>
    <t>SCI Mayaa</t>
  </si>
  <si>
    <t>Castetis</t>
  </si>
  <si>
    <t>64300</t>
  </si>
  <si>
    <t>883772949</t>
  </si>
  <si>
    <t>Garage automobile, stockage camping car</t>
  </si>
  <si>
    <t>Cros et Vareine</t>
  </si>
  <si>
    <t xml:space="preserve">15260 </t>
  </si>
  <si>
    <t>BTA1010169</t>
  </si>
  <si>
    <t>7264650</t>
  </si>
  <si>
    <t>50014551617984</t>
  </si>
  <si>
    <t>07 86 27 04 72</t>
  </si>
  <si>
    <t>CHARPENTE DU NIPALOU</t>
  </si>
  <si>
    <t>Laurent Roux</t>
  </si>
  <si>
    <t>Le bourg</t>
  </si>
  <si>
    <t>NEUVEGLISE-SUR-TRUYERE</t>
  </si>
  <si>
    <t>Ancienne grange</t>
  </si>
  <si>
    <t>MOQUET</t>
  </si>
  <si>
    <t>Rue des Anciens d'Indochine</t>
  </si>
  <si>
    <t>46200</t>
  </si>
  <si>
    <t>Souillac</t>
  </si>
  <si>
    <t>BTA0930695</t>
  </si>
  <si>
    <t>7894500</t>
  </si>
  <si>
    <t>50026126709905</t>
  </si>
  <si>
    <t>Nathalie MOQUET</t>
  </si>
  <si>
    <t>n.moquet@souillac.fr</t>
  </si>
  <si>
    <t>+33 5 65 32 71 00</t>
  </si>
  <si>
    <t>Commune de Souillac</t>
  </si>
  <si>
    <t>5 Avenue de Sarlat BP 50011</t>
  </si>
  <si>
    <t>214603094</t>
  </si>
  <si>
    <t>BRU</t>
  </si>
  <si>
    <t>Lieu dit le champ rouge</t>
  </si>
  <si>
    <t xml:space="preserve">24440 </t>
  </si>
  <si>
    <t>Naussannes</t>
  </si>
  <si>
    <t>BTA0970943</t>
  </si>
  <si>
    <t>7392600</t>
  </si>
  <si>
    <t>50023380040887</t>
  </si>
  <si>
    <t>Jean-Marie BRU</t>
  </si>
  <si>
    <t>jmbru1959@gmail.com</t>
  </si>
  <si>
    <t>06 87 48 03 46</t>
  </si>
  <si>
    <t>24440</t>
  </si>
  <si>
    <t>Stockage de matériel 60%, stockage de fourrage et fruits saisonniers 40%</t>
  </si>
  <si>
    <t>TISSEYRE</t>
  </si>
  <si>
    <t>LIEU DIT LA LAOUZO</t>
  </si>
  <si>
    <t xml:space="preserve">09600 </t>
  </si>
  <si>
    <t>Aigues-Vives</t>
  </si>
  <si>
    <t>BTA1043087</t>
  </si>
  <si>
    <t>7818300</t>
  </si>
  <si>
    <t>50027864441714</t>
  </si>
  <si>
    <t>Hervé TISSEYRE</t>
  </si>
  <si>
    <t>gti.tiss@orange.fr</t>
  </si>
  <si>
    <t>06 73 38 03 39</t>
  </si>
  <si>
    <t>23, route de Tabre</t>
  </si>
  <si>
    <t>Aigues Vives</t>
  </si>
  <si>
    <t>GAILLAGOT</t>
  </si>
  <si>
    <t>LIEU-DIT FRANCESES</t>
  </si>
  <si>
    <t>Belloc</t>
  </si>
  <si>
    <t>BTA1006979</t>
  </si>
  <si>
    <t>7790700</t>
  </si>
  <si>
    <t>50097618936512</t>
  </si>
  <si>
    <t>DANIEL GAILLAGOT</t>
  </si>
  <si>
    <t>bentefarine@gmail.com</t>
  </si>
  <si>
    <t>06 56 69 76 23</t>
  </si>
  <si>
    <t>Daniel GAILLAGOT</t>
  </si>
  <si>
    <t>lieu-dit Bente Farine</t>
  </si>
  <si>
    <t>Saint-Quentin-La-Tour</t>
  </si>
  <si>
    <t>09500</t>
  </si>
  <si>
    <t>Elevage, stockage de matériel, stockage de paille, foin et fourrage.</t>
  </si>
  <si>
    <t>VALLIERE</t>
  </si>
  <si>
    <t>Imp. de Rhunes</t>
  </si>
  <si>
    <t xml:space="preserve">11700 </t>
  </si>
  <si>
    <t>BaC;#COT</t>
  </si>
  <si>
    <t xml:space="preserve">BTA0937699 | BTA0937704 </t>
  </si>
  <si>
    <t>8131750 | 8133100</t>
  </si>
  <si>
    <t>50076635931090 | 50008908000821</t>
  </si>
  <si>
    <t>Pascal VALLIERE</t>
  </si>
  <si>
    <t>contact@mairiepepieux.fr</t>
  </si>
  <si>
    <t>pascalvalliere@free.fr</t>
  </si>
  <si>
    <t>+33 6 72 39 20 03</t>
  </si>
  <si>
    <t xml:space="preserve"> +33 4 68 91 41 12</t>
  </si>
  <si>
    <t>CENEO</t>
  </si>
  <si>
    <t>En nature</t>
  </si>
  <si>
    <t>UGHETTO</t>
  </si>
  <si>
    <t>218 Chemin de Virasset</t>
  </si>
  <si>
    <t>04420</t>
  </si>
  <si>
    <t>Marcoux</t>
  </si>
  <si>
    <t>BTA1033178</t>
  </si>
  <si>
    <t>8367500</t>
  </si>
  <si>
    <t>50088211053083</t>
  </si>
  <si>
    <t>Date de mise en service : 08/10/2024
Mot de passe onduleur : Exploitation2023
3 Bâtiments : 44.13273180658074, 6.254122930710087 &amp; 44.13275023392365, 6.254487899855483 &amp; 44.13285072177009, 6.254685855878917</t>
  </si>
  <si>
    <t>Ghislain UGHETTO</t>
  </si>
  <si>
    <t>clos-de-jalines@wanadoo.fr</t>
  </si>
  <si>
    <t>0673676781</t>
  </si>
  <si>
    <t>M Ghislain UGHETTO</t>
  </si>
  <si>
    <t>218 chemin de Virasset</t>
  </si>
  <si>
    <t>DELL'ACQUA</t>
  </si>
  <si>
    <t>Chantarot</t>
  </si>
  <si>
    <t>38210</t>
  </si>
  <si>
    <t>Vourey</t>
  </si>
  <si>
    <t>BTA1020827</t>
  </si>
  <si>
    <t>7867600</t>
  </si>
  <si>
    <t>50088211338033</t>
  </si>
  <si>
    <t>Steven DELL'ACQUA</t>
  </si>
  <si>
    <t>topsl@hotmail.fr</t>
  </si>
  <si>
    <t>planes38@yahoo.com</t>
  </si>
  <si>
    <t>0683761356</t>
  </si>
  <si>
    <t>stockage de matériel et véhicule</t>
  </si>
  <si>
    <t>DA SILVA</t>
  </si>
  <si>
    <t>Lacalm</t>
  </si>
  <si>
    <t>Coupiac</t>
  </si>
  <si>
    <t>BTA0892802</t>
  </si>
  <si>
    <t>8084650</t>
  </si>
  <si>
    <t>50062745251678</t>
  </si>
  <si>
    <t>Vincent DA SILVA</t>
  </si>
  <si>
    <t>dasilvavincent@live.fr</t>
  </si>
  <si>
    <t>+33 6 07 66 40 08</t>
  </si>
  <si>
    <t>Marie-Dominique ROQUES</t>
  </si>
  <si>
    <t>Lieu-dit LACALM</t>
  </si>
  <si>
    <t>stockage de matériel et fourrage</t>
  </si>
  <si>
    <t>SOUCHON</t>
  </si>
  <si>
    <t>Chemin de Pransemange</t>
  </si>
  <si>
    <t>42130</t>
  </si>
  <si>
    <t>Cezay</t>
  </si>
  <si>
    <t>BTA1005969</t>
  </si>
  <si>
    <t>8079400</t>
  </si>
  <si>
    <t>50092553625063</t>
  </si>
  <si>
    <t>Cedric SOUCHON</t>
  </si>
  <si>
    <t>cedric.souchon0065@orange.fr</t>
  </si>
  <si>
    <t>0682366208</t>
  </si>
  <si>
    <t>Cédric SOUCHON</t>
  </si>
  <si>
    <t>Lieu-dit Pransemange</t>
  </si>
  <si>
    <t>MONTET</t>
  </si>
  <si>
    <t>127 Route de la Tour</t>
  </si>
  <si>
    <t>38110</t>
  </si>
  <si>
    <t>Montagnieu</t>
  </si>
  <si>
    <t>BTA0869189</t>
  </si>
  <si>
    <t>7822700</t>
  </si>
  <si>
    <t>50043932984660</t>
  </si>
  <si>
    <t>Deux bâtiments : 45.535267 , 5.452533 &amp; 45.535408 , 5.45197
Clé Growatt à l'intérieur du coffret AC</t>
  </si>
  <si>
    <t>Mathieu MONTET</t>
  </si>
  <si>
    <t>equitation.lemanegeenchante@gmail.com</t>
  </si>
  <si>
    <t>0610417029</t>
  </si>
  <si>
    <t>EARL Les Ecuries du Manege Enchante</t>
  </si>
  <si>
    <t>839266442</t>
  </si>
  <si>
    <t>Centre équestre</t>
  </si>
  <si>
    <t>DEVILLE</t>
  </si>
  <si>
    <t>En Vachère</t>
  </si>
  <si>
    <t>Beaurepaire</t>
  </si>
  <si>
    <t>BTA1020828</t>
  </si>
  <si>
    <t>8254950</t>
  </si>
  <si>
    <t>50078515691777</t>
  </si>
  <si>
    <t>Laurent DEVILLE</t>
  </si>
  <si>
    <t>stachalaget@hotmail.fr</t>
  </si>
  <si>
    <t>0613045832</t>
  </si>
  <si>
    <t>Stockage paille, foin et fourrage</t>
  </si>
  <si>
    <t>DE FRAMOND</t>
  </si>
  <si>
    <t>Les Feuilles</t>
  </si>
  <si>
    <t>01390</t>
  </si>
  <si>
    <t>Saint-Marcel</t>
  </si>
  <si>
    <t>20675</t>
  </si>
  <si>
    <t>44098</t>
  </si>
  <si>
    <t>66202445501016</t>
  </si>
  <si>
    <t>RSE</t>
  </si>
  <si>
    <t>Marc DE FRAMOND</t>
  </si>
  <si>
    <t>marc.de-framond@orange.fr</t>
  </si>
  <si>
    <t>0621188133</t>
  </si>
  <si>
    <t>Manège 56 % Stockage matériel, Stockage paille : 44 %</t>
  </si>
  <si>
    <t>DEVAURE</t>
  </si>
  <si>
    <t>Le Millaud</t>
  </si>
  <si>
    <t xml:space="preserve">24400 </t>
  </si>
  <si>
    <t>Saint-Michel-de-Double</t>
  </si>
  <si>
    <t>BTA0870037</t>
  </si>
  <si>
    <t>7005300</t>
  </si>
  <si>
    <t>50000663048516</t>
  </si>
  <si>
    <t>Nicolas DEVAURE</t>
  </si>
  <si>
    <t>n.devaure@orange.fr</t>
  </si>
  <si>
    <t>07 81 35 12 82</t>
  </si>
  <si>
    <t>stabulation, stockage de matériel, stockage céréales, stockage de paille, foin et fourrage dans la stricte limite de 50% maximum de la surface au sol du bâtiment et en laissant un espace de 2 mètres au minimum entre le sommet de la dernière botte et la toiture + Bois.</t>
  </si>
  <si>
    <t>GUILLET</t>
  </si>
  <si>
    <t>Bois Rond</t>
  </si>
  <si>
    <t>17510</t>
  </si>
  <si>
    <t>Les Éduts</t>
  </si>
  <si>
    <t>BTA1022684</t>
  </si>
  <si>
    <t>8267350</t>
  </si>
  <si>
    <t>50058255215796</t>
  </si>
  <si>
    <t>Gérald  GUILLET</t>
  </si>
  <si>
    <t>guillet.gerald@orange.fr</t>
  </si>
  <si>
    <t>06 70 64 31 70</t>
  </si>
  <si>
    <t>10 rue de la Chenevière La Foye</t>
  </si>
  <si>
    <t>VINAX</t>
  </si>
  <si>
    <t>Stockage de fourrage (20%), Stockage de céréales (20%), Stockage de matériel (60%)</t>
  </si>
  <si>
    <t>JOUSSERAND</t>
  </si>
  <si>
    <t>Lieu-Dit MAS BALDY</t>
  </si>
  <si>
    <t xml:space="preserve">12250 </t>
  </si>
  <si>
    <t>Viala-du-Pas-de-Jaux</t>
  </si>
  <si>
    <t>BTA0889521</t>
  </si>
  <si>
    <t>8046850</t>
  </si>
  <si>
    <t>50041324594457</t>
  </si>
  <si>
    <t>Philippe JOUSSERAND</t>
  </si>
  <si>
    <t>clapas12250@gmail.com</t>
  </si>
  <si>
    <t>06 71 68 21 63</t>
  </si>
  <si>
    <t>M Philippe Jousserand et Mme Estelle Senty</t>
  </si>
  <si>
    <t>Mas Baldy</t>
  </si>
  <si>
    <t>VIALA-DU-PAS-DE-JAUX</t>
  </si>
  <si>
    <t>12250</t>
  </si>
  <si>
    <t>Manèges et boxes de chevaux ; Stockage de matériel ; Stockage de céréales, à plat exclusivement et dans la stricte limite de 50% de la surface au Sol du Bâtiment ;Stockage de paille, foin et fourrage, saisonnier ou non, dans la stricte limite de 50% maximum de la surface au sol du Bâtiment et en laissant un espace de 2 mètres au minimum entre le sommet de la dernière botte et la toiture</t>
  </si>
  <si>
    <t>LARGEAU</t>
  </si>
  <si>
    <t>215 Route du Rol d'Enfer</t>
  </si>
  <si>
    <t>84260</t>
  </si>
  <si>
    <t>Sarrians</t>
  </si>
  <si>
    <t>BTA0998288</t>
  </si>
  <si>
    <t>7630600</t>
  </si>
  <si>
    <t>50068241624808</t>
  </si>
  <si>
    <t>Muller LARGEAU</t>
  </si>
  <si>
    <t>lesecuriesdejunon@gmail.com</t>
  </si>
  <si>
    <t>harmonie84170@hotmail.fr</t>
  </si>
  <si>
    <t>0627863174</t>
  </si>
  <si>
    <t xml:space="preserve">M Yoann LARGEAU et Mme Frédérique MULLER </t>
  </si>
  <si>
    <t>Route du Rol d'Enfer</t>
  </si>
  <si>
    <t>COMMUNE LE POET - TRUCCHI</t>
  </si>
  <si>
    <t>Chemin des Bernardins, Fontaine Petite</t>
  </si>
  <si>
    <t>05300</t>
  </si>
  <si>
    <t>Le Poët</t>
  </si>
  <si>
    <t>BTA1183529</t>
  </si>
  <si>
    <t>5167700</t>
  </si>
  <si>
    <t>50099800263289</t>
  </si>
  <si>
    <t>Jean-Marie TRUCCHI</t>
  </si>
  <si>
    <t>mairiedupoet@wanadoo.fr</t>
  </si>
  <si>
    <t>0682900606</t>
  </si>
  <si>
    <t>La Commune Le POET</t>
  </si>
  <si>
    <t>Hotel de ville</t>
  </si>
  <si>
    <t>Le Poet</t>
  </si>
  <si>
    <t>Ombrière sur parking existant</t>
  </si>
  <si>
    <t>GUYONNET</t>
  </si>
  <si>
    <t>Charraud</t>
  </si>
  <si>
    <t>Saint-Silvain-Montaigut</t>
  </si>
  <si>
    <t>BTA1023233</t>
  </si>
  <si>
    <t>7958800</t>
  </si>
  <si>
    <t>50030179954182</t>
  </si>
  <si>
    <t>Thierry GUYONNET</t>
  </si>
  <si>
    <t>thierry.guyonnet@free.fr</t>
  </si>
  <si>
    <t>0611960817</t>
  </si>
  <si>
    <t>Stabulation, stockage matériel, stockage de paille, foin et fourrage</t>
  </si>
  <si>
    <t>KWASNIK</t>
  </si>
  <si>
    <t>La Peyrade Sud</t>
  </si>
  <si>
    <t>Saint-Hilaire-Foissac</t>
  </si>
  <si>
    <t>BTA1001766</t>
  </si>
  <si>
    <t>8070100</t>
  </si>
  <si>
    <t>50066070771366</t>
  </si>
  <si>
    <t>Manon KWASNIK</t>
  </si>
  <si>
    <t>manon-kwasnik@netcourrier.com</t>
  </si>
  <si>
    <t>06 75 19 72 04</t>
  </si>
  <si>
    <t>Manon Kwasnik</t>
  </si>
  <si>
    <t>Nouaille</t>
  </si>
  <si>
    <t>Sainte-Hilaire-Foissac</t>
  </si>
  <si>
    <t>Stockage fourrage, matériel et stabulation</t>
  </si>
  <si>
    <t>GAEC BODET</t>
  </si>
  <si>
    <t>L'Étang</t>
  </si>
  <si>
    <t>71600</t>
  </si>
  <si>
    <t>Poisson</t>
  </si>
  <si>
    <t>BTA0995587 | BTA0995829</t>
  </si>
  <si>
    <t>8125250 | 8123400</t>
  </si>
  <si>
    <t>50087345389605 | 50071860587337</t>
  </si>
  <si>
    <t>ETIENNE BODET</t>
  </si>
  <si>
    <t>thomasbodet71@gmail.com</t>
  </si>
  <si>
    <t>0677629972</t>
  </si>
  <si>
    <t>ACAMA-ENERGIES</t>
  </si>
  <si>
    <t>EARL Bodet</t>
  </si>
  <si>
    <t>L'etang</t>
  </si>
  <si>
    <t>531373835</t>
  </si>
  <si>
    <t>JALLERAT</t>
  </si>
  <si>
    <t>Le Coret</t>
  </si>
  <si>
    <t>03380</t>
  </si>
  <si>
    <t>Treignat</t>
  </si>
  <si>
    <t>BTA0912951 | BTA0912934</t>
  </si>
  <si>
    <t>6244300 | 6240600</t>
  </si>
  <si>
    <t>50025841957100 | 50018606067146</t>
  </si>
  <si>
    <t>Les clés Growatt se situent dans le coffret AC.</t>
  </si>
  <si>
    <t>François JALLERAT</t>
  </si>
  <si>
    <t>0617128725</t>
  </si>
  <si>
    <t>Stabulation libre 55%, Stockage fourrage 25%, Matériel agricole 20%</t>
  </si>
  <si>
    <t>Poiseuil</t>
  </si>
  <si>
    <t>La Boulaye</t>
  </si>
  <si>
    <t>BTA0992027</t>
  </si>
  <si>
    <t>8243000</t>
  </si>
  <si>
    <t>50081267240872</t>
  </si>
  <si>
    <t>0748122092</t>
  </si>
  <si>
    <t>Stabulation, stockage matériel</t>
  </si>
  <si>
    <t>MINET</t>
  </si>
  <si>
    <t>240 Rte D’Egliseneuve D’Entraigues</t>
  </si>
  <si>
    <t>63850</t>
  </si>
  <si>
    <t>Saint-Genès-Champespe</t>
  </si>
  <si>
    <t>BTA0912920</t>
  </si>
  <si>
    <t>7632100</t>
  </si>
  <si>
    <t>50049864684517</t>
  </si>
  <si>
    <t>Deux bâtiments (45.417339 ; 2.73156 &amp; 45.416841 ; 2.731479)</t>
  </si>
  <si>
    <t>Jacques MINET</t>
  </si>
  <si>
    <t>jacobins.jm@gmail.com</t>
  </si>
  <si>
    <t>0761311973</t>
  </si>
  <si>
    <t>0473223806</t>
  </si>
  <si>
    <t>EARL DES BRUYERES</t>
  </si>
  <si>
    <t>Le Bourg Saint-Genes Champespe,</t>
  </si>
  <si>
    <t>Egliseneuve d'Entraigues</t>
  </si>
  <si>
    <t>422765545</t>
  </si>
  <si>
    <t>Stockage matériel, stockage paille, foin et fourrage dans la limite de 50% et Elevage de vaches allaitantes, stockage foin</t>
  </si>
  <si>
    <t>HARAMBOURE</t>
  </si>
  <si>
    <t xml:space="preserve">Route d’Orègue </t>
  </si>
  <si>
    <t>64240</t>
  </si>
  <si>
    <t>Isturits</t>
  </si>
  <si>
    <t>BTA0971690</t>
  </si>
  <si>
    <t>7948100</t>
  </si>
  <si>
    <t>50076490972135</t>
  </si>
  <si>
    <t>David HARAMBOURE</t>
  </si>
  <si>
    <t>fifig94@hotmail.fr</t>
  </si>
  <si>
    <t>06 65 51 16 43</t>
  </si>
  <si>
    <t>stabulation, stockage de matériel, stockage de paille, foin et fourrage dans la stricte limite de 50% maximum de la surface au sol du bâtiment et en laissant un espace de 2 mètres au minimum entre le sommet de la dernière botte et la toiture.</t>
  </si>
  <si>
    <t>CECCHIN</t>
  </si>
  <si>
    <t>Mas Chausson</t>
  </si>
  <si>
    <t>BTA0873317</t>
  </si>
  <si>
    <t>7971200</t>
  </si>
  <si>
    <t>50066220710262</t>
  </si>
  <si>
    <t>Clé Growatt on sein du coffret de communication</t>
  </si>
  <si>
    <t>CECCHIN Christophe</t>
  </si>
  <si>
    <t>cecchinchristophe@gmail.com</t>
  </si>
  <si>
    <t>+33 6 16 10 69 66</t>
  </si>
  <si>
    <t>Christophe CECCHIN et Anne-Marie CHASSY</t>
  </si>
  <si>
    <t>St-Martin-de-Crau</t>
  </si>
  <si>
    <t>fourrage/matériel</t>
  </si>
  <si>
    <t>MARQUOIS</t>
  </si>
  <si>
    <t>Riblaire</t>
  </si>
  <si>
    <t xml:space="preserve">79330 </t>
  </si>
  <si>
    <t>Saint-Varent</t>
  </si>
  <si>
    <t>287061</t>
  </si>
  <si>
    <t>557660</t>
  </si>
  <si>
    <t>042336371397</t>
  </si>
  <si>
    <t>Benjamin MARQUOIS</t>
  </si>
  <si>
    <t>ab.marquois86@gmail.com</t>
  </si>
  <si>
    <t>+33 6 14 62 14 59</t>
  </si>
  <si>
    <t>I METAL</t>
  </si>
  <si>
    <t>Stockage Matériel (100%)</t>
  </si>
  <si>
    <t>Cambade</t>
  </si>
  <si>
    <t>Sainte-Blandine</t>
  </si>
  <si>
    <t>BTA0869231</t>
  </si>
  <si>
    <t>7823750</t>
  </si>
  <si>
    <t>50000372935758</t>
  </si>
  <si>
    <t>0648916432</t>
  </si>
  <si>
    <t>467 Chemin des Ruscats</t>
  </si>
  <si>
    <t>BTA0912079</t>
  </si>
  <si>
    <t>5922550</t>
  </si>
  <si>
    <t>50090531815456</t>
  </si>
  <si>
    <t>leclercqlila@gmail.com</t>
  </si>
  <si>
    <t>0620899163</t>
  </si>
  <si>
    <t>Jean LARTISIEN et Loic LARTISIEN</t>
  </si>
  <si>
    <t>471 B Chemin des Ruscats</t>
  </si>
  <si>
    <t>Sollies-Pont</t>
  </si>
  <si>
    <t>Manège existant</t>
  </si>
  <si>
    <t>VALETTE</t>
  </si>
  <si>
    <t>Rue du Chêne Carnejac</t>
  </si>
  <si>
    <t>15130</t>
  </si>
  <si>
    <t>Giou-de-Mamou</t>
  </si>
  <si>
    <t>BTA0912340</t>
  </si>
  <si>
    <t>6308600</t>
  </si>
  <si>
    <t>50075045548180</t>
  </si>
  <si>
    <t>Philippe VALETTE</t>
  </si>
  <si>
    <t>michelle.valette@wanadoo.fr</t>
  </si>
  <si>
    <t>06 79 82 54 36</t>
  </si>
  <si>
    <t>Paul VALETTE</t>
  </si>
  <si>
    <t>GUIEU</t>
  </si>
  <si>
    <t>50 Saint-Pierre et l'Arquet</t>
  </si>
  <si>
    <t>Le Brusquet</t>
  </si>
  <si>
    <t>BTA0977891</t>
  </si>
  <si>
    <t>8014400</t>
  </si>
  <si>
    <t>50001235049152</t>
  </si>
  <si>
    <t>Gerard GUIEU</t>
  </si>
  <si>
    <t>gerard.guieu@orange.fr</t>
  </si>
  <si>
    <t>0682689479</t>
  </si>
  <si>
    <t>Gérard Laurent GUIEU</t>
  </si>
  <si>
    <t>Le Mousteiret</t>
  </si>
  <si>
    <t>Stockage de matériel/stabulation/foin et fourrage</t>
  </si>
  <si>
    <t>VERNET</t>
  </si>
  <si>
    <t>BTA0909918</t>
  </si>
  <si>
    <t>7915950</t>
  </si>
  <si>
    <t>50069547349930</t>
  </si>
  <si>
    <t>Jean Luc VERNET</t>
  </si>
  <si>
    <t>jeanlucvernet@gmail.com</t>
  </si>
  <si>
    <t>0631265094</t>
  </si>
  <si>
    <t>Jean-Luc Georges VERNET</t>
  </si>
  <si>
    <t>Le plan</t>
  </si>
  <si>
    <t>Stockage de matériel/bergerie</t>
  </si>
  <si>
    <t>DULIS</t>
  </si>
  <si>
    <t>Rue des Entrepreneurs</t>
  </si>
  <si>
    <t xml:space="preserve">47480 </t>
  </si>
  <si>
    <t>BTA0996554</t>
  </si>
  <si>
    <t>7679450</t>
  </si>
  <si>
    <t>50091976444466</t>
  </si>
  <si>
    <t>+33 5 53 67 96 41</t>
  </si>
  <si>
    <t>Ateliers municipaux</t>
  </si>
  <si>
    <t>THOME</t>
  </si>
  <si>
    <t>Carretier</t>
  </si>
  <si>
    <t>84750</t>
  </si>
  <si>
    <t>Viens</t>
  </si>
  <si>
    <t>BTA1020310</t>
  </si>
  <si>
    <t>7766600</t>
  </si>
  <si>
    <t>50065780898530</t>
  </si>
  <si>
    <t>Rodolphe THOME</t>
  </si>
  <si>
    <t>thome.rodolphe@orange.fr</t>
  </si>
  <si>
    <t>0625478085</t>
  </si>
  <si>
    <t>HARAS ST ELOI - DEGERMANN</t>
  </si>
  <si>
    <t>La pièce de Fourquette</t>
  </si>
  <si>
    <t>27800</t>
  </si>
  <si>
    <t>Saint-Éloi-de-Fourques</t>
  </si>
  <si>
    <t>BTA0951732</t>
  </si>
  <si>
    <t>7834500</t>
  </si>
  <si>
    <t>50074031640820</t>
  </si>
  <si>
    <t>Christine BORNERT</t>
  </si>
  <si>
    <t>christine.degermann@gmail.com</t>
  </si>
  <si>
    <t>0685542225</t>
  </si>
  <si>
    <t>VIEIRA</t>
  </si>
  <si>
    <t>2010 Chemin de Castor</t>
  </si>
  <si>
    <t xml:space="preserve">33770 </t>
  </si>
  <si>
    <t>Salles</t>
  </si>
  <si>
    <t>BTA1032950</t>
  </si>
  <si>
    <t>7957100</t>
  </si>
  <si>
    <t>50040599559923</t>
  </si>
  <si>
    <t>Georges VIEIRA</t>
  </si>
  <si>
    <t>vieirageorges@orange.fr</t>
  </si>
  <si>
    <t>06 08 73 30 43</t>
  </si>
  <si>
    <t>210 route de Castor</t>
  </si>
  <si>
    <t>33770</t>
  </si>
  <si>
    <t>Matériel + stockage de bois dans la limite de 50%</t>
  </si>
  <si>
    <t>DUHARD</t>
  </si>
  <si>
    <t>Imp. du Grand Fraisse</t>
  </si>
  <si>
    <t>24700</t>
  </si>
  <si>
    <t>Ménesplet</t>
  </si>
  <si>
    <t>BTA1007736 | BTA1007735</t>
  </si>
  <si>
    <t>7835350 | 7835750</t>
  </si>
  <si>
    <t>50024681175913 | 50074029945864</t>
  </si>
  <si>
    <t>Laurent DUHARD</t>
  </si>
  <si>
    <t>vetduhard@aol.com</t>
  </si>
  <si>
    <t>06 26 39 30 12</t>
  </si>
  <si>
    <t>Manège 62.5% / Stabu et boxes 17.4%/ Stockage matériel et labo insémination 7.9% / stockage fourrage et paille 8.7% / Graineterie 3.5%</t>
  </si>
  <si>
    <t>TEIXEIRA</t>
  </si>
  <si>
    <t>DAVAI ENRSPV5</t>
  </si>
  <si>
    <t xml:space="preserve">5 bis Rue des Vieux Foudres </t>
  </si>
  <si>
    <t xml:space="preserve">11240 </t>
  </si>
  <si>
    <t>Donazac</t>
  </si>
  <si>
    <t>BTA0872332</t>
  </si>
  <si>
    <t>5649050</t>
  </si>
  <si>
    <t>50030185654123</t>
  </si>
  <si>
    <t>N°1 - Avril 2021 - Septembre 2022</t>
  </si>
  <si>
    <t>Filipe TEXEIRA LOPES et Maria do Rosario PEREIRA GOMES</t>
  </si>
  <si>
    <t>filipe_clara@outlook.fr</t>
  </si>
  <si>
    <t>06 14 95 81 78</t>
  </si>
  <si>
    <t>LED-ELEC</t>
  </si>
  <si>
    <t>IVP</t>
  </si>
  <si>
    <t>3.1.1.5 2025 03 19 EPC DAVAI ENRSPV5</t>
  </si>
  <si>
    <t>3.2.1.5 DAVAI ENRSPV5- O&amp;M</t>
  </si>
  <si>
    <t>Filipe Antonio TEXEIRA LOPES et Maria Do Rosario PEREIRA GOMES</t>
  </si>
  <si>
    <t>5 B rue des Vieux Foudres Hameau de Pech Salamou</t>
  </si>
  <si>
    <t>11240</t>
  </si>
  <si>
    <t>agri</t>
  </si>
  <si>
    <t>HARRAULT</t>
  </si>
  <si>
    <t>Les Arnauds</t>
  </si>
  <si>
    <t>03220</t>
  </si>
  <si>
    <t>Vaumas</t>
  </si>
  <si>
    <t>BTA0910635</t>
  </si>
  <si>
    <t>6213750</t>
  </si>
  <si>
    <t>50068678676562</t>
  </si>
  <si>
    <t>Sebastien HARRAULT</t>
  </si>
  <si>
    <t>sebastien.harrault@orange.fr</t>
  </si>
  <si>
    <t>0650900408</t>
  </si>
  <si>
    <t>Sebastien Harrault</t>
  </si>
  <si>
    <t>les Arnauds</t>
  </si>
  <si>
    <t>OBLETTE</t>
  </si>
  <si>
    <t>Marcou</t>
  </si>
  <si>
    <t xml:space="preserve">42155 </t>
  </si>
  <si>
    <t>Saint-Jean-Saint-Maurice-sur-Loire</t>
  </si>
  <si>
    <t>BTA1004997</t>
  </si>
  <si>
    <t>7702300</t>
  </si>
  <si>
    <t>50075478364805</t>
  </si>
  <si>
    <t>Thierry OBLETTE</t>
  </si>
  <si>
    <t>thierry.oblette@gmail.com</t>
  </si>
  <si>
    <t>0612215416</t>
  </si>
  <si>
    <t>EXTRAT</t>
  </si>
  <si>
    <t>Thierry Gilles OBLETTE</t>
  </si>
  <si>
    <t>7 rue de Tour</t>
  </si>
  <si>
    <t>CHERIER</t>
  </si>
  <si>
    <t>42430</t>
  </si>
  <si>
    <t>MANET</t>
  </si>
  <si>
    <t>815 Chemin de la Croix des Près</t>
  </si>
  <si>
    <t>42155</t>
  </si>
  <si>
    <t>BTA0938045</t>
  </si>
  <si>
    <t>7822250</t>
  </si>
  <si>
    <t>50067374166422</t>
  </si>
  <si>
    <t>Daniel MANET</t>
  </si>
  <si>
    <t>manet42.ventedirecte@gmail.com</t>
  </si>
  <si>
    <t>0684525599</t>
  </si>
  <si>
    <t>0640409801</t>
  </si>
  <si>
    <t>-</t>
  </si>
  <si>
    <t>Daniel Yves Gilbert MANET et Cécile Paule Mauricette GROSBELLET</t>
  </si>
  <si>
    <t>662 chemin de Lambertière</t>
  </si>
  <si>
    <t>Stockage bois, matériel et animaux</t>
  </si>
  <si>
    <t>Lieu-dit Marcou</t>
  </si>
  <si>
    <t>BTA0988198</t>
  </si>
  <si>
    <t>7701450</t>
  </si>
  <si>
    <t>50074610056420</t>
  </si>
  <si>
    <t>Daniel MANET et Cécile GROSBELLET</t>
  </si>
  <si>
    <t xml:space="preserve"> 662 chemin de Lambertière</t>
  </si>
  <si>
    <t>SAINT-JEAN-SAINT-MAURICE-SUR-LOIRE</t>
  </si>
  <si>
    <t>CLOS</t>
  </si>
  <si>
    <t>5 Rue Henri IV</t>
  </si>
  <si>
    <t xml:space="preserve">64420 </t>
  </si>
  <si>
    <t>Artigueloutan</t>
  </si>
  <si>
    <t>BTA0989152</t>
  </si>
  <si>
    <t>7854700</t>
  </si>
  <si>
    <t>50085752911730</t>
  </si>
  <si>
    <t>Sylvain-Francis CLOS</t>
  </si>
  <si>
    <t>gaecclos@yahoo.fr</t>
  </si>
  <si>
    <t>06 87 17 46 75</t>
  </si>
  <si>
    <t>Sylvain Francis Pierre CLOS</t>
  </si>
  <si>
    <t>5, rue Henri IV</t>
  </si>
  <si>
    <t>64420</t>
  </si>
  <si>
    <t>MORAND</t>
  </si>
  <si>
    <t>1 Rochereau</t>
  </si>
  <si>
    <t>17770</t>
  </si>
  <si>
    <t>Saint-Césaire</t>
  </si>
  <si>
    <t>BTA0936249</t>
  </si>
  <si>
    <t>7599200</t>
  </si>
  <si>
    <t>50014409084002</t>
  </si>
  <si>
    <t>Anthony MORAND</t>
  </si>
  <si>
    <t>anthony.morand21@sfr.fr</t>
  </si>
  <si>
    <t>06 75 19 90 94</t>
  </si>
  <si>
    <t>EARL DU ROCHEREAU</t>
  </si>
  <si>
    <t>Saint-Cesaire</t>
  </si>
  <si>
    <t>909471831</t>
  </si>
  <si>
    <t>Agri</t>
  </si>
  <si>
    <t>MABILON</t>
  </si>
  <si>
    <t>Chemin du Clos</t>
  </si>
  <si>
    <t>38150</t>
  </si>
  <si>
    <t>La Chapelle-de-Surieu</t>
  </si>
  <si>
    <t>BTA0913479</t>
  </si>
  <si>
    <t>5993700</t>
  </si>
  <si>
    <t>50069837992778</t>
  </si>
  <si>
    <t>Nadine MABILON</t>
  </si>
  <si>
    <t>lafermemabilon@outlook.fr</t>
  </si>
  <si>
    <t>0681516942</t>
  </si>
  <si>
    <t xml:space="preserve">Gilles Joseph MABILON et Nadine MALARTRE </t>
  </si>
  <si>
    <t>95, chemin du Clos</t>
  </si>
  <si>
    <t>LA CHAPELLE-DE-SURIEU</t>
  </si>
  <si>
    <t>Ovins</t>
  </si>
  <si>
    <t>LAGARD</t>
  </si>
  <si>
    <t>Chem. de Regas</t>
  </si>
  <si>
    <t>Montcuq-en-Quercy-Blanc</t>
  </si>
  <si>
    <t>BTA1152054</t>
  </si>
  <si>
    <t>7140300</t>
  </si>
  <si>
    <t>50035251730616</t>
  </si>
  <si>
    <t>Ludovic LAGARD</t>
  </si>
  <si>
    <t>ludoviclagard@gmail.com</t>
  </si>
  <si>
    <t>0684482806</t>
  </si>
  <si>
    <t>SOLARIS</t>
  </si>
  <si>
    <t>Christian Guy Michel LAGARD</t>
  </si>
  <si>
    <t>421, chemin des Boulbènes</t>
  </si>
  <si>
    <t>MONTCUQ-EN-QUERCY-BLANC</t>
  </si>
  <si>
    <t>Stockage matériel (60%), Stockage fourrage (20%), stockage céréales (20%)</t>
  </si>
  <si>
    <t>EARL LES ECURIES MAS ROBIN - TANCREDI</t>
  </si>
  <si>
    <t>260 Chemin du Mas de Robin</t>
  </si>
  <si>
    <t>13940</t>
  </si>
  <si>
    <t>Mollégès</t>
  </si>
  <si>
    <t>BTA0912642 | BTA0912643</t>
  </si>
  <si>
    <t>5925650 | 5929700</t>
  </si>
  <si>
    <t>50093426633497 | 50074323883624</t>
  </si>
  <si>
    <t>Benoit TANCREDI</t>
  </si>
  <si>
    <t>contact@ecuriemasrobin.com</t>
  </si>
  <si>
    <t>0616543072</t>
  </si>
  <si>
    <t>Stabulation, Manège et boxes à chevaux, Stockage de paille, foin et fourrage jusqu'à 50%</t>
  </si>
  <si>
    <t>CAYZAC</t>
  </si>
  <si>
    <t>À Las Mourlanes</t>
  </si>
  <si>
    <t xml:space="preserve">32730 </t>
  </si>
  <si>
    <t>Montégut-Arros</t>
  </si>
  <si>
    <t>BTA0877696</t>
  </si>
  <si>
    <t>7143050</t>
  </si>
  <si>
    <t>50085323690057</t>
  </si>
  <si>
    <t>Gerard CAYZAC</t>
  </si>
  <si>
    <t>gerard.cayzac@erme-france.com</t>
  </si>
  <si>
    <t>06 72 93 50 24</t>
  </si>
  <si>
    <t>SAS Ermaero</t>
  </si>
  <si>
    <t>48, route des Pyrénées</t>
  </si>
  <si>
    <t>MONTEGUT-ARROS</t>
  </si>
  <si>
    <t>32730</t>
  </si>
  <si>
    <t>348988759</t>
  </si>
  <si>
    <t>OROSQUETTE</t>
  </si>
  <si>
    <t>Ferran</t>
  </si>
  <si>
    <t>11800</t>
  </si>
  <si>
    <t xml:space="preserve">BTA0996920 </t>
  </si>
  <si>
    <t>7768700</t>
  </si>
  <si>
    <t>50071580089514</t>
  </si>
  <si>
    <t>Gaëlle OROSQUETTE</t>
  </si>
  <si>
    <t>chstlucie@hotmail.fr</t>
  </si>
  <si>
    <t>06 11 18 61 98</t>
  </si>
  <si>
    <t>Bénédicte OROSQUETTE et Annie GOUT</t>
  </si>
  <si>
    <t>Domaine de Ferrand</t>
  </si>
  <si>
    <t>AIGUES-VIVES</t>
  </si>
  <si>
    <t>VACHER</t>
  </si>
  <si>
    <t>La Tallebarde</t>
  </si>
  <si>
    <t>69860</t>
  </si>
  <si>
    <t>DEUX-GROSNES</t>
  </si>
  <si>
    <t>BTA1015382</t>
  </si>
  <si>
    <t>7856700</t>
  </si>
  <si>
    <t>50054782927132</t>
  </si>
  <si>
    <t>Jérémy VACHER</t>
  </si>
  <si>
    <t>jv-tp@orange.fr</t>
  </si>
  <si>
    <t>0660315751</t>
  </si>
  <si>
    <t>Jérémy Antoine VACHER</t>
  </si>
  <si>
    <t>911 route de Mont Chetail</t>
  </si>
  <si>
    <t>CORROYER</t>
  </si>
  <si>
    <t>Les Giraudières</t>
  </si>
  <si>
    <t>72800</t>
  </si>
  <si>
    <t>Saint-Germain-d'Arcé</t>
  </si>
  <si>
    <t>BTA0869784</t>
  </si>
  <si>
    <t>7469050</t>
  </si>
  <si>
    <t>50033072447103</t>
  </si>
  <si>
    <t>Guillaume CORROYER</t>
  </si>
  <si>
    <t>guillaume.corroyer@orange.fr</t>
  </si>
  <si>
    <t>0632598981</t>
  </si>
  <si>
    <t>Guillaume Jérémy CORROYER</t>
  </si>
  <si>
    <t>SAINT-GERMAIN-D'ARCE</t>
  </si>
  <si>
    <t>SEVILLA</t>
  </si>
  <si>
    <t>1 rue CLEMENT IV</t>
  </si>
  <si>
    <t>30800</t>
  </si>
  <si>
    <t>Saint-Gilles</t>
  </si>
  <si>
    <t>BTA0911990</t>
  </si>
  <si>
    <t>7148600</t>
  </si>
  <si>
    <t>50070269569464</t>
  </si>
  <si>
    <t>Éviter de déclencher des interventions entre 12h et 13h, sur demande du bailleur. 
Mdp onduleurs : Exploitation2023</t>
  </si>
  <si>
    <t>Christophe SEVILLA</t>
  </si>
  <si>
    <t>christophe.sevilla30@gmail.com</t>
  </si>
  <si>
    <t>+33 7 69 33 20 17</t>
  </si>
  <si>
    <t>+33 6 17 76 44 45</t>
  </si>
  <si>
    <t>SCI Sevimani</t>
  </si>
  <si>
    <t>452 avenue des Costières</t>
  </si>
  <si>
    <t>SAINT-GILLES</t>
  </si>
  <si>
    <t>901904599</t>
  </si>
  <si>
    <t>Entreprise matériaux de construction</t>
  </si>
  <si>
    <t>GAEC DES SAULES - DUTREIGE</t>
  </si>
  <si>
    <t>Le Verger</t>
  </si>
  <si>
    <t>73420</t>
  </si>
  <si>
    <t>Drumettaz-Clarafond</t>
  </si>
  <si>
    <t>BTA0936943</t>
  </si>
  <si>
    <t>7711900</t>
  </si>
  <si>
    <t>50069401221054</t>
  </si>
  <si>
    <t>Julien DUTREIGE</t>
  </si>
  <si>
    <t>gaec-des-saules@hotmail.fr</t>
  </si>
  <si>
    <t>0630383885</t>
  </si>
  <si>
    <t>GAEC Des Saules</t>
  </si>
  <si>
    <t>192, route des Chênes</t>
  </si>
  <si>
    <t>793283581</t>
  </si>
  <si>
    <t>PETTINATO</t>
  </si>
  <si>
    <t>Corse Materiels Services - Lieu dit Procojo</t>
  </si>
  <si>
    <t>20290</t>
  </si>
  <si>
    <t>Lucciana</t>
  </si>
  <si>
    <t>257-21-2150</t>
  </si>
  <si>
    <t>75734362511164</t>
  </si>
  <si>
    <t>EDF SYSTEMES ENERGETIQUES INSULAIRES</t>
  </si>
  <si>
    <t>Corsica Lore</t>
  </si>
  <si>
    <t>Jean-Marc PETTINATO</t>
  </si>
  <si>
    <t>jm.pettinato@orange.fr</t>
  </si>
  <si>
    <t>0611358817</t>
  </si>
  <si>
    <t>CORSICALORE</t>
  </si>
  <si>
    <t>MTN-CONT-003-Contrat_maintenance_36204_PETTINATO-002</t>
  </si>
  <si>
    <t>SCI French Connection</t>
  </si>
  <si>
    <t>35 Terrasse de Cardo</t>
  </si>
  <si>
    <t>Bastia</t>
  </si>
  <si>
    <t>20200</t>
  </si>
  <si>
    <t>532699949</t>
  </si>
  <si>
    <t>BERNIGAL</t>
  </si>
  <si>
    <t>543 Rte de Charolles</t>
  </si>
  <si>
    <t>71220</t>
  </si>
  <si>
    <t>Saint-Bonnet-de-Joux</t>
  </si>
  <si>
    <t>BTA0935786</t>
  </si>
  <si>
    <t>6238300</t>
  </si>
  <si>
    <t>50075045543137</t>
  </si>
  <si>
    <t>Claude BERNIGAL</t>
  </si>
  <si>
    <t>cfbernigal@gmail.com</t>
  </si>
  <si>
    <t>0647764779</t>
  </si>
  <si>
    <t>CHAUDRONNERIE DU CHAROLAIS</t>
  </si>
  <si>
    <t>SCI Clos de Flaurence</t>
  </si>
  <si>
    <t>523 route de Cluny</t>
  </si>
  <si>
    <t>414914598</t>
  </si>
  <si>
    <t>Entreprise de serrurerie</t>
  </si>
  <si>
    <t>148 Chem. de la Zone</t>
  </si>
  <si>
    <t>BTA0935785</t>
  </si>
  <si>
    <t>6233150</t>
  </si>
  <si>
    <t>50032932663252</t>
  </si>
  <si>
    <t>VOGEL</t>
  </si>
  <si>
    <t>La Gaulardière</t>
  </si>
  <si>
    <t>BTA0866925</t>
  </si>
  <si>
    <t>7438000</t>
  </si>
  <si>
    <t>50042054213906</t>
  </si>
  <si>
    <t>Clé Growatt dans le coffret de communication</t>
  </si>
  <si>
    <t>Jean Pierre VOGEL</t>
  </si>
  <si>
    <t>jp-vogel@wanadoo.fr</t>
  </si>
  <si>
    <t>0687964432</t>
  </si>
  <si>
    <t>SCI La Gaulardiere</t>
  </si>
  <si>
    <t xml:space="preserve"> Le Petit Noyer</t>
  </si>
  <si>
    <t>Beaufay</t>
  </si>
  <si>
    <t>72110</t>
  </si>
  <si>
    <t>830833638</t>
  </si>
  <si>
    <t>Carrière + Boxes + stockage paille</t>
  </si>
  <si>
    <t>GAEC DU CHENE LIEGE</t>
  </si>
  <si>
    <t>La Fount de Nouvelle</t>
  </si>
  <si>
    <t>Saint-Julien-de-Gras-Capou</t>
  </si>
  <si>
    <t>BTA0939230</t>
  </si>
  <si>
    <t>7442650</t>
  </si>
  <si>
    <t>50075334820999</t>
  </si>
  <si>
    <t>MATHILDE DERAMOND</t>
  </si>
  <si>
    <t>deramond.mathilde@icloud.com</t>
  </si>
  <si>
    <t>Mathilde Deramond</t>
  </si>
  <si>
    <t>Allée du Chêne Liege</t>
  </si>
  <si>
    <t>Saint-Julien-De-Gras-Capou</t>
  </si>
  <si>
    <t>ROZE</t>
  </si>
  <si>
    <t>Jouan Nadaou</t>
  </si>
  <si>
    <t>31310</t>
  </si>
  <si>
    <t>Montesquieu-Volvestre</t>
  </si>
  <si>
    <t>BTA0871594</t>
  </si>
  <si>
    <t>7140550</t>
  </si>
  <si>
    <t>50084745244403</t>
  </si>
  <si>
    <t>ISABELLE ROZE</t>
  </si>
  <si>
    <t>volcaneagain@hotmail.fr</t>
  </si>
  <si>
    <t>0612356117</t>
  </si>
  <si>
    <t>Isabelle Castel</t>
  </si>
  <si>
    <t>44 Boulevard César Metge</t>
  </si>
  <si>
    <t>Stockage matériel, fourrage, céréales, boxes et manège</t>
  </si>
  <si>
    <t>ADAM</t>
  </si>
  <si>
    <t>Vieux Chemin d'Istres</t>
  </si>
  <si>
    <t>13300</t>
  </si>
  <si>
    <t>Salon-de-Provence</t>
  </si>
  <si>
    <t>BTA0879778</t>
  </si>
  <si>
    <t>5571450</t>
  </si>
  <si>
    <t>50055511776611</t>
  </si>
  <si>
    <t>Bruno ADAM</t>
  </si>
  <si>
    <t>brunofroid13@gmail.com</t>
  </si>
  <si>
    <t>0652368070</t>
  </si>
  <si>
    <t>SCI B.B Box Location</t>
  </si>
  <si>
    <t>40 Rue Valery Chasson</t>
  </si>
  <si>
    <t>Marignane</t>
  </si>
  <si>
    <t>13700</t>
  </si>
  <si>
    <t>492063011</t>
  </si>
  <si>
    <t>Stockage de café, isolation, événementiels, panneaux solaires</t>
  </si>
  <si>
    <t>MANET LAMBERTIERE</t>
  </si>
  <si>
    <t>Lieu-dit Lambertière</t>
  </si>
  <si>
    <t>BTA0869129</t>
  </si>
  <si>
    <t>5607350</t>
  </si>
  <si>
    <t>50068971034305</t>
  </si>
  <si>
    <t>Daniel Manet et Cécile Grosbellet</t>
  </si>
  <si>
    <t>662 Chemin de Lambertière</t>
  </si>
  <si>
    <t>Saint-Jean-Saint-Maurice-Sur-Loire</t>
  </si>
  <si>
    <t>Elevage de vaches laitières</t>
  </si>
  <si>
    <t>DE LAUZON</t>
  </si>
  <si>
    <t>La Chaise</t>
  </si>
  <si>
    <t>86340</t>
  </si>
  <si>
    <t>Vernon</t>
  </si>
  <si>
    <t>CEC86284P078053</t>
  </si>
  <si>
    <t>80000026887887</t>
  </si>
  <si>
    <t>SOREGIES</t>
  </si>
  <si>
    <t>SRD</t>
  </si>
  <si>
    <t>Bertrand DE LAUZON</t>
  </si>
  <si>
    <t>bertranddelauzon92@gmail.com</t>
  </si>
  <si>
    <t>+33656709602</t>
  </si>
  <si>
    <t>ROYDEAUX</t>
  </si>
  <si>
    <t>14 Ham. de Saint-Claude</t>
  </si>
  <si>
    <t>71310</t>
  </si>
  <si>
    <t>Mervans</t>
  </si>
  <si>
    <t>BTA0868702</t>
  </si>
  <si>
    <t>5539800</t>
  </si>
  <si>
    <t>50001821864769</t>
  </si>
  <si>
    <t>Jean-Luc ROYDEAUX</t>
  </si>
  <si>
    <t>jeanluc.roydeaux@yahoo.com</t>
  </si>
  <si>
    <t>0770257007</t>
  </si>
  <si>
    <t>Jean Luc ROYDEAUX</t>
  </si>
  <si>
    <t>14 Hameau de Saint Claude</t>
  </si>
  <si>
    <t>Elevage de bovins, stockage fourrage</t>
  </si>
  <si>
    <t>POUDE</t>
  </si>
  <si>
    <t>Aire Nord</t>
  </si>
  <si>
    <t>42260</t>
  </si>
  <si>
    <t>Bully</t>
  </si>
  <si>
    <t>BTA0876151</t>
  </si>
  <si>
    <t>5862200</t>
  </si>
  <si>
    <t>50004282006028</t>
  </si>
  <si>
    <t>Jean Paul POUDE</t>
  </si>
  <si>
    <t>poude.jeanpaul@orange.fr</t>
  </si>
  <si>
    <t>06 15 25 51 48</t>
  </si>
  <si>
    <t>GAEC Du Vernet</t>
  </si>
  <si>
    <t>Le Vernet</t>
  </si>
  <si>
    <t>Saint-Polgues</t>
  </si>
  <si>
    <t>819505314</t>
  </si>
  <si>
    <t>PAYAN</t>
  </si>
  <si>
    <t>Les Chambarels</t>
  </si>
  <si>
    <t>04300</t>
  </si>
  <si>
    <t>Forcalquier</t>
  </si>
  <si>
    <t>BTA0838988</t>
  </si>
  <si>
    <t>5782400</t>
  </si>
  <si>
    <t>50011374467139</t>
  </si>
  <si>
    <t>Amandine PAYAN</t>
  </si>
  <si>
    <t>payan.gilles@wanadoo.fr</t>
  </si>
  <si>
    <t>06 89 69 58 42</t>
  </si>
  <si>
    <t>Transformation et séchage des amandes, stockage de matériel, paille, foin et fourrage</t>
  </si>
  <si>
    <t>QUENIN</t>
  </si>
  <si>
    <t>DAVAI ENRSPV3</t>
  </si>
  <si>
    <t>Impasse de Molin</t>
  </si>
  <si>
    <t>83890</t>
  </si>
  <si>
    <t>Besse-sur-Issole</t>
  </si>
  <si>
    <t>BTA0859640</t>
  </si>
  <si>
    <t>5255750</t>
  </si>
  <si>
    <t>50009639265318</t>
  </si>
  <si>
    <t>Michel QUENIN</t>
  </si>
  <si>
    <t>exploitationviti@orange.fr</t>
  </si>
  <si>
    <t>scv.gaspard@wanadoo.fr</t>
  </si>
  <si>
    <t xml:space="preserve">06 88 97 58 30 </t>
  </si>
  <si>
    <t>04 94 69 49 65; 07 69 83 18 70</t>
  </si>
  <si>
    <t>3.1.1.3 2023 03 19 EPC DAVAI ENRSPV3</t>
  </si>
  <si>
    <t>3.2.1.3 DAVAI ENRSPV3- O&amp;M</t>
  </si>
  <si>
    <t>CHANAL</t>
  </si>
  <si>
    <t>DAVAI ENRSPV1</t>
  </si>
  <si>
    <t>Chemin du Plan Gai</t>
  </si>
  <si>
    <t>26470</t>
  </si>
  <si>
    <t>La Motte-Chalancon</t>
  </si>
  <si>
    <t>BTA0784825</t>
  </si>
  <si>
    <t>688907</t>
  </si>
  <si>
    <t>50081276631473</t>
  </si>
  <si>
    <t>Pierre Chanal DU BESSET</t>
  </si>
  <si>
    <t>pierrechanal@orange.fr</t>
  </si>
  <si>
    <t>06 07 83 62 87</t>
  </si>
  <si>
    <t>PUYZILLOU</t>
  </si>
  <si>
    <t>3.1.1.1 2021 03 19 EPC DAVAI ENRSPV1</t>
  </si>
  <si>
    <t>3.2.1.1 DAVAI ENRSPV1- O&amp;M</t>
  </si>
  <si>
    <t>Bergerie,stockage du matériel, paille, foin et fourrage</t>
  </si>
  <si>
    <t>GIELLY</t>
  </si>
  <si>
    <t>DAVAI ENRSPV4</t>
  </si>
  <si>
    <t>430 Route des Alpes</t>
  </si>
  <si>
    <t>Curnier</t>
  </si>
  <si>
    <t>BTA0841742</t>
  </si>
  <si>
    <t>5567150</t>
  </si>
  <si>
    <t>50076209534389</t>
  </si>
  <si>
    <t>Code cadenas : 0000</t>
  </si>
  <si>
    <t>François GIELLY</t>
  </si>
  <si>
    <t>patgielly@gmail.com</t>
  </si>
  <si>
    <t>06 71 01 27 88</t>
  </si>
  <si>
    <t>3.1.1.4 2024 03 19 EPC DAVAI ENRSPV4</t>
  </si>
  <si>
    <t>3.2.1.4 DAVAI ENRSPV4- O&amp;M</t>
  </si>
  <si>
    <t>Stockage de matériel, olives, paille, foin et fourrage</t>
  </si>
  <si>
    <t>PICCARDO</t>
  </si>
  <si>
    <t>Distribbois - 250 RD 97</t>
  </si>
  <si>
    <t>83130</t>
  </si>
  <si>
    <t>La Garde</t>
  </si>
  <si>
    <t>BTA0845457</t>
  </si>
  <si>
    <t>5188250</t>
  </si>
  <si>
    <t>50063907982805</t>
  </si>
  <si>
    <t>Thierry PICCARDO</t>
  </si>
  <si>
    <t>distribbois@9business.fr</t>
  </si>
  <si>
    <t>04 94 63 59 12</t>
  </si>
  <si>
    <t>06 68 37 96 43</t>
  </si>
  <si>
    <t>Stockage de matériel et bois</t>
  </si>
  <si>
    <t>PETIT</t>
  </si>
  <si>
    <t>La Petite Bergere</t>
  </si>
  <si>
    <t>16190</t>
  </si>
  <si>
    <t>Salles-Lavalette</t>
  </si>
  <si>
    <t>BTA0808168</t>
  </si>
  <si>
    <t>5116850</t>
  </si>
  <si>
    <t>50070421648342</t>
  </si>
  <si>
    <t>Terrain d'accès impossible en temps pluvieux</t>
  </si>
  <si>
    <t>Christophe PETIT</t>
  </si>
  <si>
    <t>petitch2@wanadoo.fr</t>
  </si>
  <si>
    <t>06 74 52 11 85</t>
  </si>
  <si>
    <t>Stockage du matériel, paille, foin, fourrage, espace de stabulation pour le bétail</t>
  </si>
  <si>
    <t>Lieu-dit Chabannes</t>
  </si>
  <si>
    <t>BTA0824744</t>
  </si>
  <si>
    <t>5650750</t>
  </si>
  <si>
    <t>50080117249676</t>
  </si>
  <si>
    <t>Antoine BORDES</t>
  </si>
  <si>
    <t>bordes.antoine.19@gmail.com</t>
  </si>
  <si>
    <t>06 85 60 31 67</t>
  </si>
  <si>
    <t>Stockage de matériel(véhicules), petit atelier de réparation entretien du matériel, broyeur de grains pour volailles bio</t>
  </si>
  <si>
    <t>EVEN</t>
  </si>
  <si>
    <t>18 Rue Romain Rolland</t>
  </si>
  <si>
    <t>BTA0810975</t>
  </si>
  <si>
    <t>5374350</t>
  </si>
  <si>
    <t>50089091001411</t>
  </si>
  <si>
    <t>Quentin EVEN</t>
  </si>
  <si>
    <t>queven@msn.com</t>
  </si>
  <si>
    <t>06 52 13 63 97</t>
  </si>
  <si>
    <t>Emeric EVEN et Quentin EVEN</t>
  </si>
  <si>
    <t>18 C rue Marius Grosso Appt C21 et 18 rue Romain Rolland</t>
  </si>
  <si>
    <t>Vaulx-en-Velin et Portes-les-Valence</t>
  </si>
  <si>
    <t>69120 et 26800</t>
  </si>
  <si>
    <t>Soudure, menuiserie, forge</t>
  </si>
  <si>
    <t>BARON</t>
  </si>
  <si>
    <t>4 Chemin d'En Péricou</t>
  </si>
  <si>
    <t>31290</t>
  </si>
  <si>
    <t>Montgaillard-Lauragais</t>
  </si>
  <si>
    <t>BTA0883628</t>
  </si>
  <si>
    <t>6422900</t>
  </si>
  <si>
    <t>50057248843435</t>
  </si>
  <si>
    <t>Alain BARON</t>
  </si>
  <si>
    <t>alvalfamily@hotmail.fr</t>
  </si>
  <si>
    <t>06 40 12 58 28</t>
  </si>
  <si>
    <t>Stockage de matériel, atelier(fermé), annexe technique, stockage d'engrais</t>
  </si>
  <si>
    <t>SOVRAN</t>
  </si>
  <si>
    <t>1280 Route d’Augnax En Barran</t>
  </si>
  <si>
    <t>32120</t>
  </si>
  <si>
    <t>Saint-Antonin</t>
  </si>
  <si>
    <t>BTA0855016</t>
  </si>
  <si>
    <t>6411300</t>
  </si>
  <si>
    <t>50084023449910</t>
  </si>
  <si>
    <t>Alain SOVRAN</t>
  </si>
  <si>
    <t>alain.sovran@orange.fr</t>
  </si>
  <si>
    <t>06 88 81 81 78</t>
  </si>
  <si>
    <t>Stockage de matériel, stockage de paille, foin et fourrage, engrais en big bag (50 max)</t>
  </si>
  <si>
    <t>VALET</t>
  </si>
  <si>
    <t>Chateau la Motte de lignac</t>
  </si>
  <si>
    <t>33390</t>
  </si>
  <si>
    <t>Eyrans</t>
  </si>
  <si>
    <t>BTA0810907</t>
  </si>
  <si>
    <t>6384050</t>
  </si>
  <si>
    <t>50057976863208</t>
  </si>
  <si>
    <t>Wilfried VALET</t>
  </si>
  <si>
    <t>wilfried.valet@gmail.com</t>
  </si>
  <si>
    <t>06 51 71 08 73</t>
  </si>
  <si>
    <t>Stabulation(projet), box pour stockage de bouteilles, cuve à gazoil, stockage de matériel, véhicules et matériaux pour la vigne</t>
  </si>
  <si>
    <t>L'HOUMEE</t>
  </si>
  <si>
    <t>DAVAI PV1</t>
  </si>
  <si>
    <t>2 Rue du Pont</t>
  </si>
  <si>
    <t>La Vallée</t>
  </si>
  <si>
    <t>BTA1047886</t>
  </si>
  <si>
    <t>5486100</t>
  </si>
  <si>
    <t>50044373348491</t>
  </si>
  <si>
    <t>Monsieur et Madame BOURSIQUOT : 67% (3.500,00 EUR), soit (2.345,00 EUR) auxquels s’ajoute 100% du loyer supplémentaire, de (600,00 EUR). Soit un loyer annuel total de (2.945,00 EUR) ;
Pour EARL LE GRAND VERSENNE : à hauteur de 33% (3.500,00 EUR), soit (1.155,00 EUR)
Post 21ans c'est 50% / 50% de 10% CA</t>
  </si>
  <si>
    <t>Didier BOURSIQUOT</t>
  </si>
  <si>
    <t>gversenne@orange.fr</t>
  </si>
  <si>
    <t>06 11 38 61 59</t>
  </si>
  <si>
    <t>AMICUS</t>
  </si>
  <si>
    <t>6.1BIS 2020 11 19 Contrat AMO - Amicus - Davai PV1</t>
  </si>
  <si>
    <t>6.3_DAVAI_PV1_contrat_de_suivi_d_exploitation</t>
  </si>
  <si>
    <t>M. et Mme. Boursiquot et EARL Le Grand Versenne</t>
  </si>
  <si>
    <t>8 rue Saint Denis OU 2 rue du Pont L'Houmee</t>
  </si>
  <si>
    <t>LA VALLEE</t>
  </si>
  <si>
    <t>342755113</t>
  </si>
  <si>
    <t>320 Chemin du Plan</t>
  </si>
  <si>
    <t>BTA0860294</t>
  </si>
  <si>
    <t>6365300</t>
  </si>
  <si>
    <t>50081558383657</t>
  </si>
  <si>
    <t>Jean-Luc VERNET</t>
  </si>
  <si>
    <t>06 31 26 50 94</t>
  </si>
  <si>
    <t>DROSSON</t>
  </si>
  <si>
    <t>Le Coteau des Fourches</t>
  </si>
  <si>
    <t>04270</t>
  </si>
  <si>
    <t>Beynes</t>
  </si>
  <si>
    <t>BTA0823529</t>
  </si>
  <si>
    <t>5171050</t>
  </si>
  <si>
    <t>50029032512922</t>
  </si>
  <si>
    <t>Maxime DROSSON</t>
  </si>
  <si>
    <t>maxime.drosson@gmail.com</t>
  </si>
  <si>
    <t>06 78 68 74 71</t>
  </si>
  <si>
    <t>Manège et boxes à chevaux, stockage de matériel, paille, foin et fourrage</t>
  </si>
  <si>
    <t>LA MARTINIERE</t>
  </si>
  <si>
    <t>La Martinière</t>
  </si>
  <si>
    <t>Bois</t>
  </si>
  <si>
    <t>BTA0862156</t>
  </si>
  <si>
    <t>5479100</t>
  </si>
  <si>
    <t>50084310957727</t>
  </si>
  <si>
    <t>Valéry Sylla DECLEMY</t>
  </si>
  <si>
    <t>declemy.valery@orange.fr</t>
  </si>
  <si>
    <t>06 23 02 09 54</t>
  </si>
  <si>
    <t>Valéry Declemy</t>
  </si>
  <si>
    <t>Stockage de matériel agricole</t>
  </si>
  <si>
    <t>COMBE</t>
  </si>
  <si>
    <t>Dillanges</t>
  </si>
  <si>
    <t>19320</t>
  </si>
  <si>
    <t>Saint-Merd-de-Lapleau</t>
  </si>
  <si>
    <t>BTA0837245</t>
  </si>
  <si>
    <t>5152200</t>
  </si>
  <si>
    <t>50049870984515</t>
  </si>
  <si>
    <t>Jean-Pierre COMBE</t>
  </si>
  <si>
    <t>sylvie.vincent19320@gmail.com</t>
  </si>
  <si>
    <t>06 31 33 04 72</t>
  </si>
  <si>
    <t>stockage de matériel, stockage de paille, foin</t>
  </si>
  <si>
    <t>AUDOUARD</t>
  </si>
  <si>
    <t>Les Trouliers</t>
  </si>
  <si>
    <t>07400</t>
  </si>
  <si>
    <t>Saint-Martin-sur-Lavezon</t>
  </si>
  <si>
    <t>BTA0818216</t>
  </si>
  <si>
    <t>5374750</t>
  </si>
  <si>
    <t>50022520092461</t>
  </si>
  <si>
    <t>Daniel AUDOUARD</t>
  </si>
  <si>
    <t>daniel.audouard0204@orange.fr</t>
  </si>
  <si>
    <t>06 34 12 28 65</t>
  </si>
  <si>
    <t>Stabulation, élevage bovins à 30%, stockage de matériel, paille, foin et fourrage</t>
  </si>
  <si>
    <t>GAVAGE</t>
  </si>
  <si>
    <t>Rue du Néoulous</t>
  </si>
  <si>
    <t>66400</t>
  </si>
  <si>
    <t>Céret</t>
  </si>
  <si>
    <t>BTA0855168</t>
  </si>
  <si>
    <t>5322000</t>
  </si>
  <si>
    <t>50015281897439</t>
  </si>
  <si>
    <t>Freddy GAVAGE</t>
  </si>
  <si>
    <t>pneu66ceret@hotmail.com</t>
  </si>
  <si>
    <t>06 15 29 40 62</t>
  </si>
  <si>
    <t>MORELL</t>
  </si>
  <si>
    <t>Stockage de matériel (montage pneus, réparation, entretien véhicules) atelier de montage de pneus</t>
  </si>
  <si>
    <t>BRUSTLEIN</t>
  </si>
  <si>
    <t>162 Chemin de Gray</t>
  </si>
  <si>
    <t>07410</t>
  </si>
  <si>
    <t>Arlebosc</t>
  </si>
  <si>
    <t>BTA0868574</t>
  </si>
  <si>
    <t>5509700</t>
  </si>
  <si>
    <t>50089380449252</t>
  </si>
  <si>
    <t>Samuel BRUSTLEIN</t>
  </si>
  <si>
    <t>samuel.brustlein@orange.fr</t>
  </si>
  <si>
    <t>06 75 05 10 40</t>
  </si>
  <si>
    <t>LE VIGNEAU</t>
  </si>
  <si>
    <t>Lieu-dit Le VIGNEAU</t>
  </si>
  <si>
    <t>79120</t>
  </si>
  <si>
    <t>LEZAY</t>
  </si>
  <si>
    <t>514417</t>
  </si>
  <si>
    <t>267539</t>
  </si>
  <si>
    <t>EDL 267539</t>
  </si>
  <si>
    <t>Cyril GRIFFAULT</t>
  </si>
  <si>
    <t>cyril.griffault@hotmail.fr</t>
  </si>
  <si>
    <t>0684617375</t>
  </si>
  <si>
    <t>EARL La Varenne</t>
  </si>
  <si>
    <t>La Bataille, Ld la Varenne</t>
  </si>
  <si>
    <t>Chef-Boutonne</t>
  </si>
  <si>
    <t>79110</t>
  </si>
  <si>
    <t>331153155</t>
  </si>
  <si>
    <t>Elevage bovin</t>
  </si>
  <si>
    <t>FRANC</t>
  </si>
  <si>
    <t>Chemin de Vinsous</t>
  </si>
  <si>
    <t>Montjardin</t>
  </si>
  <si>
    <t>BTA0843135</t>
  </si>
  <si>
    <t>5138250</t>
  </si>
  <si>
    <t>50012244760502</t>
  </si>
  <si>
    <t>Marc FRANC</t>
  </si>
  <si>
    <t>marc11230@live.fr</t>
  </si>
  <si>
    <t>06 72 81 67 91</t>
  </si>
  <si>
    <t>PETROV ENERGY</t>
  </si>
  <si>
    <t>stockage de matériel, fourrage, stabulation</t>
  </si>
  <si>
    <t>CHAUNU</t>
  </si>
  <si>
    <t>Le Châtenet</t>
  </si>
  <si>
    <t>19510</t>
  </si>
  <si>
    <t>Meilhards</t>
  </si>
  <si>
    <t>BTA0824722</t>
  </si>
  <si>
    <t>5154700</t>
  </si>
  <si>
    <t>50062752181674</t>
  </si>
  <si>
    <t>Jean-Pierre CHAUNU</t>
  </si>
  <si>
    <t>jean-pierrechaunu@orange.fr</t>
  </si>
  <si>
    <t>06 41 24 55 88</t>
  </si>
  <si>
    <t>Stockage matériel, paille, foin et fourrage</t>
  </si>
  <si>
    <t>MERLE</t>
  </si>
  <si>
    <t>328 Chemin du Grand Serre</t>
  </si>
  <si>
    <t>30500</t>
  </si>
  <si>
    <t>Saint-Julien-de-Cassagnas</t>
  </si>
  <si>
    <t>BTA0860132</t>
  </si>
  <si>
    <t>5330800</t>
  </si>
  <si>
    <t>50091403388827</t>
  </si>
  <si>
    <t>Laurent MERLE</t>
  </si>
  <si>
    <t>ochampsdumerle@gmail.com</t>
  </si>
  <si>
    <t>06 98 02 30 86</t>
  </si>
  <si>
    <t>Bergerie, stockage de matériel, céréales, paille, foin et fourrage</t>
  </si>
  <si>
    <t>CAZADEBAT</t>
  </si>
  <si>
    <t>4 Chemin de Coustalette</t>
  </si>
  <si>
    <t>64160</t>
  </si>
  <si>
    <t>Monassut-Audiracq</t>
  </si>
  <si>
    <t>BTA0818114</t>
  </si>
  <si>
    <t>5201600</t>
  </si>
  <si>
    <t>50044515540202</t>
  </si>
  <si>
    <t>Claude et Geneviève CAZADEBAT</t>
  </si>
  <si>
    <t>claude.cazadebat@gmail.com</t>
  </si>
  <si>
    <t>06 08 37 93 22</t>
  </si>
  <si>
    <t>Stockage de matériel, petit atelier pour l'entretien et la réparation du matériel, stockage de produits phytosanitaires , engrai en big bag, cave à vin</t>
  </si>
  <si>
    <t>CUMA DES VOLONTAIRES</t>
  </si>
  <si>
    <t>DAVAI PV2</t>
  </si>
  <si>
    <t>Les Bois Bourdains</t>
  </si>
  <si>
    <t>PETIT-MARS</t>
  </si>
  <si>
    <t>BTA0803072</t>
  </si>
  <si>
    <t>5055550</t>
  </si>
  <si>
    <t>50064633851056</t>
  </si>
  <si>
    <t>Centrale NORD-OUEST en exploitation
Code accès onduleur : 2459</t>
  </si>
  <si>
    <t>Samuel RETIERE</t>
  </si>
  <si>
    <t>retieresamuel@orange.fr</t>
  </si>
  <si>
    <t>06 23 04 35 21</t>
  </si>
  <si>
    <t>EDL</t>
  </si>
  <si>
    <t>6.1_Contrat EPC DAVAI PV - EDL</t>
  </si>
  <si>
    <t>6.3_DAVAI_PV2_contrat_de_suivi_d_exploitation</t>
  </si>
  <si>
    <t>ARCADIAS</t>
  </si>
  <si>
    <t>7 Chemin des Carrieres</t>
  </si>
  <si>
    <t>17460</t>
  </si>
  <si>
    <t>Thénac</t>
  </si>
  <si>
    <t>BTA0804333</t>
  </si>
  <si>
    <t>4999750</t>
  </si>
  <si>
    <t>50034820703950</t>
  </si>
  <si>
    <t>Bertrand ARCADIAS</t>
  </si>
  <si>
    <t>transmineral@transmineral.com</t>
  </si>
  <si>
    <t>06 09 71 66 19</t>
  </si>
  <si>
    <t>Stockage de matériel, stockage de matériaux, atelier taille de pierre</t>
  </si>
  <si>
    <t>Choin</t>
  </si>
  <si>
    <t>01330</t>
  </si>
  <si>
    <t>LAPEYROUSE</t>
  </si>
  <si>
    <t>EDL 66202067501010</t>
  </si>
  <si>
    <t>DE004380</t>
  </si>
  <si>
    <t>66202067501010</t>
  </si>
  <si>
    <t>Séverin DE FRAMOND</t>
  </si>
  <si>
    <t>mondbopaysage@gmail.com</t>
  </si>
  <si>
    <t>0650533595</t>
  </si>
  <si>
    <t>SOALIS</t>
  </si>
  <si>
    <t>Jean de Framond</t>
  </si>
  <si>
    <t>Petit Schoin</t>
  </si>
  <si>
    <t>Lapeyrouse</t>
  </si>
  <si>
    <t>Stockage d'engrai</t>
  </si>
  <si>
    <t>DAVAI ENRSPV2</t>
  </si>
  <si>
    <t>PRINSUEJOLS-MALBOUZON</t>
  </si>
  <si>
    <t>BTA0794854</t>
  </si>
  <si>
    <t>4696850</t>
  </si>
  <si>
    <t>50078237361397</t>
  </si>
  <si>
    <t>3.1.1.2 2022 03 19 EPC DAVAI ENRSPV2</t>
  </si>
  <si>
    <t>3.2.1.2 DAVAI ENRSPV2- O&amp;M</t>
  </si>
  <si>
    <t>Emmanuel PIGNOL et Caroline CONSTAND</t>
  </si>
  <si>
    <t>La Pignede</t>
  </si>
  <si>
    <t>Peyre en Aubrac</t>
  </si>
  <si>
    <t>48130</t>
  </si>
  <si>
    <t>FROGER</t>
  </si>
  <si>
    <t>Le Grand Pache</t>
  </si>
  <si>
    <t>37330</t>
  </si>
  <si>
    <t>Villiers-au-Bouin</t>
  </si>
  <si>
    <t>BTA0823387</t>
  </si>
  <si>
    <t>5279400</t>
  </si>
  <si>
    <t>50079249591260</t>
  </si>
  <si>
    <t>Patrick FROGER</t>
  </si>
  <si>
    <t>pat.froger@orange.fr</t>
  </si>
  <si>
    <t>06 15 80 57 50</t>
  </si>
  <si>
    <t>Stockage de paille, foin et fourrage</t>
  </si>
  <si>
    <t>LA BIOCHERE 3</t>
  </si>
  <si>
    <t>La Biochere</t>
  </si>
  <si>
    <t>AIZENAY</t>
  </si>
  <si>
    <t>BTA0839723</t>
  </si>
  <si>
    <t>6043800</t>
  </si>
  <si>
    <t>50013835253433</t>
  </si>
  <si>
    <t>Eddy GAUTIER</t>
  </si>
  <si>
    <t>fermedelabiochere@orange.fr</t>
  </si>
  <si>
    <t>06 73 54 07 07</t>
  </si>
  <si>
    <t>SCI Le Chataignier</t>
  </si>
  <si>
    <t>Aizenay</t>
  </si>
  <si>
    <t>411805369</t>
  </si>
  <si>
    <t>DOUMENGE</t>
  </si>
  <si>
    <t>Lieu dit SERS</t>
  </si>
  <si>
    <t>MONTCLAR</t>
  </si>
  <si>
    <t>BTA0793095</t>
  </si>
  <si>
    <t>4751600</t>
  </si>
  <si>
    <t>50028743858889</t>
  </si>
  <si>
    <t>Laurent DOUMENGE</t>
  </si>
  <si>
    <t>delphine.doumenge@wanadoo.fr</t>
  </si>
  <si>
    <t>06 87 19 56 07</t>
  </si>
  <si>
    <t>Stockage de matériel, céréales, paille, foin et fourage</t>
  </si>
  <si>
    <t>GAILLARD 2</t>
  </si>
  <si>
    <t>Lieu dit LA VEYSSEYRE, GAEC MARTELOU</t>
  </si>
  <si>
    <t>SAUGUES</t>
  </si>
  <si>
    <t>BTA0815830</t>
  </si>
  <si>
    <t>4914000</t>
  </si>
  <si>
    <t>50062462843815</t>
  </si>
  <si>
    <t>gaecdemartelou@gmail.com</t>
  </si>
  <si>
    <t>06 08 67 23 84</t>
  </si>
  <si>
    <t>% Du CA</t>
  </si>
  <si>
    <t>GAEC Agree de Martelou</t>
  </si>
  <si>
    <t>La Vesseyre</t>
  </si>
  <si>
    <t>Saugues</t>
  </si>
  <si>
    <t>423704014</t>
  </si>
  <si>
    <t>Elevage de bovins</t>
  </si>
  <si>
    <t>SCI LES ANGES</t>
  </si>
  <si>
    <t>LE RADA</t>
  </si>
  <si>
    <t>Tourtrol</t>
  </si>
  <si>
    <t>BTA0839182</t>
  </si>
  <si>
    <t>5027650</t>
  </si>
  <si>
    <t>50006890216230</t>
  </si>
  <si>
    <t>MARC RULLAC</t>
  </si>
  <si>
    <t>sasrullac@gmail.com</t>
  </si>
  <si>
    <t>06 71 48 71 18</t>
  </si>
  <si>
    <t>SCI Les Anges</t>
  </si>
  <si>
    <t>stockage matériel BTP</t>
  </si>
  <si>
    <t>RUIZ</t>
  </si>
  <si>
    <t>530 ROUTE DE PICAT</t>
  </si>
  <si>
    <t>82170</t>
  </si>
  <si>
    <t>FABAS</t>
  </si>
  <si>
    <t>BTA0794186</t>
  </si>
  <si>
    <t>5085600</t>
  </si>
  <si>
    <t>50089378844204</t>
  </si>
  <si>
    <t>Existence des 3 points d'ancrages sur la toiture</t>
  </si>
  <si>
    <t>Jean-Paul RUIZ</t>
  </si>
  <si>
    <t>jpruiz82@laposte.net</t>
  </si>
  <si>
    <t>07 86 56 35 63</t>
  </si>
  <si>
    <t>530 route de Picat</t>
  </si>
  <si>
    <t>Fabas</t>
  </si>
  <si>
    <t>Manège et boxes à chevaux, stockage de matériel, céréales, paille, foin et fourrage</t>
  </si>
  <si>
    <t>GAY</t>
  </si>
  <si>
    <t>TRASSALVAT SUD</t>
  </si>
  <si>
    <t>24120</t>
  </si>
  <si>
    <t>VILLAC</t>
  </si>
  <si>
    <t>BTA0815887</t>
  </si>
  <si>
    <t>4799800</t>
  </si>
  <si>
    <t>50003997080494</t>
  </si>
  <si>
    <t>Jean-Marius GAY</t>
  </si>
  <si>
    <t>ninijanis@orange.fr</t>
  </si>
  <si>
    <t>06 20 83 01 86</t>
  </si>
  <si>
    <t>JONNET</t>
  </si>
  <si>
    <t>LIEU DIT LE BEAUFET</t>
  </si>
  <si>
    <t>MERCY</t>
  </si>
  <si>
    <t>BTA0794580</t>
  </si>
  <si>
    <t>5076150</t>
  </si>
  <si>
    <t>50003127109809</t>
  </si>
  <si>
    <t>Etienne JONNET</t>
  </si>
  <si>
    <t>etienne.jonnet@orange.fr</t>
  </si>
  <si>
    <t>06 75 01 06 09</t>
  </si>
  <si>
    <t>Gerard JONNET</t>
  </si>
  <si>
    <t>Mercy</t>
  </si>
  <si>
    <t>Stabulation, stockage de matériel, céréales, paille, foin et fourrage</t>
  </si>
  <si>
    <t>REMERY</t>
  </si>
  <si>
    <t>1100 Chemin de la Vimagne</t>
  </si>
  <si>
    <t>Châteauneuf-sur-Isère</t>
  </si>
  <si>
    <t>BTA0815883</t>
  </si>
  <si>
    <t>5213750</t>
  </si>
  <si>
    <t>50068685955210</t>
  </si>
  <si>
    <t>Présence de plusieurs nids de guêpes sur site.</t>
  </si>
  <si>
    <t>Joanna REMERY</t>
  </si>
  <si>
    <t>lfedp26@gmail.com</t>
  </si>
  <si>
    <t>0679125595</t>
  </si>
  <si>
    <t>AMABATILUX</t>
  </si>
  <si>
    <t>Manège équestre, stockage d'engrais, box à chevaux</t>
  </si>
  <si>
    <t>LANTHEAUME</t>
  </si>
  <si>
    <t>Lieu dit Au Fuma, 1750 Route de Pont de Barret</t>
  </si>
  <si>
    <t>BTA0794216</t>
  </si>
  <si>
    <t>5424700</t>
  </si>
  <si>
    <t>50074329994506</t>
  </si>
  <si>
    <t>Jean-Baptiste LANTHEAUME</t>
  </si>
  <si>
    <t>jblantheaume@gmail.com</t>
  </si>
  <si>
    <t>sarl.lta@laposte.net</t>
  </si>
  <si>
    <t>04 75 56 18 45</t>
  </si>
  <si>
    <t>06 86 16 79 67</t>
  </si>
  <si>
    <t>Jean-Baptiste Lantheaume</t>
  </si>
  <si>
    <t>Au Fuma, Route de Pont de Barret</t>
  </si>
  <si>
    <t>FINE</t>
  </si>
  <si>
    <t>Haut Charens</t>
  </si>
  <si>
    <t>26310</t>
  </si>
  <si>
    <t>CHARENS</t>
  </si>
  <si>
    <t>BTA0794410</t>
  </si>
  <si>
    <t>5476400</t>
  </si>
  <si>
    <t>50082868357715</t>
  </si>
  <si>
    <t>Denis FINE</t>
  </si>
  <si>
    <t>denisfine66@yahoo.fr</t>
  </si>
  <si>
    <t>06 77 15 95 80</t>
  </si>
  <si>
    <t>Stockage de matériel agricole pour exploitation de lavandes et ovins, paille, foin et fourrage</t>
  </si>
  <si>
    <t>LA POBLAIS</t>
  </si>
  <si>
    <t>44110</t>
  </si>
  <si>
    <t>Saint-Aubin-des-Châteaux</t>
  </si>
  <si>
    <t>BTA0794961</t>
  </si>
  <si>
    <t>5055350</t>
  </si>
  <si>
    <t>50029756899796</t>
  </si>
  <si>
    <t>Code accès onduleur : 2459</t>
  </si>
  <si>
    <t>Jean-Claude BARRAT</t>
  </si>
  <si>
    <t>jeanclaude-barrat@orange.fr</t>
  </si>
  <si>
    <t>06 73 30 75 90</t>
  </si>
  <si>
    <t>GALACHE</t>
  </si>
  <si>
    <t>En trunc</t>
  </si>
  <si>
    <t>LAGARDE</t>
  </si>
  <si>
    <t>BTA0804298</t>
  </si>
  <si>
    <t>5126550</t>
  </si>
  <si>
    <t>50017310767010</t>
  </si>
  <si>
    <t>Catherine GALACHE</t>
  </si>
  <si>
    <t>catherine.galache@wanadoo.fr</t>
  </si>
  <si>
    <t>06 10 62 18 59</t>
  </si>
  <si>
    <t>Alain GALACHE et Catherine JEANBOURQUIN</t>
  </si>
  <si>
    <t>Villa La Glycine 14 route de Soucale</t>
  </si>
  <si>
    <t>Seyre</t>
  </si>
  <si>
    <t>31560</t>
  </si>
  <si>
    <t>Stabulation(ovins), atelier fromagerie, stockage de matériel, paille, foin et fourrage</t>
  </si>
  <si>
    <t>SCI ADP</t>
  </si>
  <si>
    <t>ZAC DE LA CROIX EMANEE</t>
  </si>
  <si>
    <t>19250</t>
  </si>
  <si>
    <t>MEYMAC</t>
  </si>
  <si>
    <t>BTA0818006</t>
  </si>
  <si>
    <t>5154900</t>
  </si>
  <si>
    <t>50098497379914</t>
  </si>
  <si>
    <t>Martin AIDANS</t>
  </si>
  <si>
    <t>martin.aidans@hotmail.fr</t>
  </si>
  <si>
    <t>Laurent Dessault (Gestion du batiment) 0629278926</t>
  </si>
  <si>
    <t>06 81 52 18 30</t>
  </si>
  <si>
    <t>SORECO</t>
  </si>
  <si>
    <t>Stockage de matériel, contrôle technique de véhicule</t>
  </si>
  <si>
    <t>GAEC DE LAIT VIE DENCE</t>
  </si>
  <si>
    <t>LIEU-DIT LE PERRAY</t>
  </si>
  <si>
    <t>ERBRAY</t>
  </si>
  <si>
    <t>BTA0808284</t>
  </si>
  <si>
    <t>5041700</t>
  </si>
  <si>
    <t>50025415365776</t>
  </si>
  <si>
    <t>Centrale NORD en exploitation (SN onduleur : 6T2139043358)
Code accès onduleur : 2459</t>
  </si>
  <si>
    <t>Anthony TESSIER</t>
  </si>
  <si>
    <t>anthony.tessier@hotmail.fr</t>
  </si>
  <si>
    <t>06 88 86 56 35</t>
  </si>
  <si>
    <t>LE PRE SAUNIER</t>
  </si>
  <si>
    <t>ROUTE D AIGRE</t>
  </si>
  <si>
    <t>16240</t>
  </si>
  <si>
    <t>VILLEFAGNAN</t>
  </si>
  <si>
    <t>BTA0803390</t>
  </si>
  <si>
    <t>5718750</t>
  </si>
  <si>
    <t>50038584679205</t>
  </si>
  <si>
    <t>Pierrot PISSON</t>
  </si>
  <si>
    <t>plisson.pierrot@orange.fr</t>
  </si>
  <si>
    <t>06 70 22 95 57</t>
  </si>
  <si>
    <t>SCI Stelipigui</t>
  </si>
  <si>
    <t>Le Bourg Sud Ancienne Gare</t>
  </si>
  <si>
    <t>Villefagnan</t>
  </si>
  <si>
    <t>390603090</t>
  </si>
  <si>
    <t>Stockage matériaux de construction</t>
  </si>
  <si>
    <t>DELPEYROU</t>
  </si>
  <si>
    <t>AS MAGNOLS</t>
  </si>
  <si>
    <t>82410</t>
  </si>
  <si>
    <t>Saint-Étienne-de-Tulmont</t>
  </si>
  <si>
    <t>BTA0794532</t>
  </si>
  <si>
    <t>4685650</t>
  </si>
  <si>
    <t>50092130278898</t>
  </si>
  <si>
    <t>Benoit DELPEYROU</t>
  </si>
  <si>
    <t>benoit.delpeyrou@bbox.fr</t>
  </si>
  <si>
    <t>06 35 96 13 56</t>
  </si>
  <si>
    <t>Stockage de matériel, paille, foin et fourage</t>
  </si>
  <si>
    <t>LAPORTE</t>
  </si>
  <si>
    <t>Lieu dit LAS PARTILLES</t>
  </si>
  <si>
    <t>PEYRUN</t>
  </si>
  <si>
    <t>BTA0821438</t>
  </si>
  <si>
    <t>4778600</t>
  </si>
  <si>
    <t>50011811875788</t>
  </si>
  <si>
    <t>David LAPORTE</t>
  </si>
  <si>
    <t>davidpeyrun@gmail.com</t>
  </si>
  <si>
    <t>06 18 75 25 27</t>
  </si>
  <si>
    <t>Poules pondeuses( sur 300m2), stockage de matériel</t>
  </si>
  <si>
    <t>MARTIN</t>
  </si>
  <si>
    <t>CHEMIN DE PLEJOU, Lieu dit LE MAZEL</t>
  </si>
  <si>
    <t>30170</t>
  </si>
  <si>
    <t>MONOBLET</t>
  </si>
  <si>
    <t>BTA0777933</t>
  </si>
  <si>
    <t>5326700</t>
  </si>
  <si>
    <t>50073317042404</t>
  </si>
  <si>
    <t>Prévoir intervention avec engin en été (En terrain humide, le terrain devient impraticable et le véhicule peut rester bloquer)</t>
  </si>
  <si>
    <t>Serge MARTIN</t>
  </si>
  <si>
    <t>s.martin30@orange.fr</t>
  </si>
  <si>
    <t>06 70 80 22 49</t>
  </si>
  <si>
    <t>Bergerie, stockage de matériel, paille, foin et fourrage</t>
  </si>
  <si>
    <t>MAGNE</t>
  </si>
  <si>
    <t>Lieu dit LES BAUMELLES</t>
  </si>
  <si>
    <t>34520</t>
  </si>
  <si>
    <t>SAINT-MAURICE-NAVACELLES</t>
  </si>
  <si>
    <t>BTA0789023</t>
  </si>
  <si>
    <t>5208900</t>
  </si>
  <si>
    <t>50015140432447</t>
  </si>
  <si>
    <t>Michel MAGNE</t>
  </si>
  <si>
    <t>michel.magne34@orange.fr</t>
  </si>
  <si>
    <t>michel.magne@mcom.fr</t>
  </si>
  <si>
    <t>06 87 69 98 47</t>
  </si>
  <si>
    <t>Stabulation, bergerie, stockage de matériel, paille, foin et fourage</t>
  </si>
  <si>
    <t>BOISSY</t>
  </si>
  <si>
    <t>Lieu dit BOEUX</t>
  </si>
  <si>
    <t>BAINS</t>
  </si>
  <si>
    <t>BTA0811454</t>
  </si>
  <si>
    <t>4878400</t>
  </si>
  <si>
    <t>50072882574672</t>
  </si>
  <si>
    <t>Frédéric BOISSY</t>
  </si>
  <si>
    <t>frederic.boissy1974@orange.fr</t>
  </si>
  <si>
    <t>06 08 86 63 33</t>
  </si>
  <si>
    <t>René Louis BOISSY et Marie ROCHE</t>
  </si>
  <si>
    <t>89 rue du Champs Guerrier Lieu dit Boeux</t>
  </si>
  <si>
    <t>Bains</t>
  </si>
  <si>
    <t>GINESTE</t>
  </si>
  <si>
    <t>Lieu dit FARGUES</t>
  </si>
  <si>
    <t>12350</t>
  </si>
  <si>
    <t>MALEVILLE</t>
  </si>
  <si>
    <t>BTA0795107</t>
  </si>
  <si>
    <t>4655850</t>
  </si>
  <si>
    <t>50021942154196</t>
  </si>
  <si>
    <t>David GINESTE</t>
  </si>
  <si>
    <t>david12.gineste@wanadoo.fr</t>
  </si>
  <si>
    <t>06 87 22 55 61</t>
  </si>
  <si>
    <t>Stockage de matériel, foins, fourrage, paille et bois</t>
  </si>
  <si>
    <t>NICOLINI</t>
  </si>
  <si>
    <t>LES PLANCHES VALADE</t>
  </si>
  <si>
    <t>24340</t>
  </si>
  <si>
    <t>MAREUIL-EN-PERIGORD</t>
  </si>
  <si>
    <t>BTA0808629</t>
  </si>
  <si>
    <t>4964400</t>
  </si>
  <si>
    <t>50007469206806</t>
  </si>
  <si>
    <t>Pamela NICOLINI</t>
  </si>
  <si>
    <t>pamdid@wanadoo.fr</t>
  </si>
  <si>
    <t>06 85 57 75 23</t>
  </si>
  <si>
    <t>06 78 15 28 96</t>
  </si>
  <si>
    <t>Jannick NICOLINI</t>
  </si>
  <si>
    <t>L'Echanleuil</t>
  </si>
  <si>
    <t>Croix-de-Mareuil</t>
  </si>
  <si>
    <t>Stockage de matériel(véhicules), céréales et bois</t>
  </si>
  <si>
    <t>BOURRASSEAU</t>
  </si>
  <si>
    <t>LA PIERRE MARTIN</t>
  </si>
  <si>
    <t>85410</t>
  </si>
  <si>
    <t>Saint-Cyr-des-Gâts</t>
  </si>
  <si>
    <t>BTA0794570</t>
  </si>
  <si>
    <t>4989300</t>
  </si>
  <si>
    <t>50001536931746</t>
  </si>
  <si>
    <t>Centrale du milieu en exploitation
Code accès onduleur : 2459</t>
  </si>
  <si>
    <t>Eric BOURASSEAU</t>
  </si>
  <si>
    <t>eric.bourasseau@wanadoo.fr</t>
  </si>
  <si>
    <t>06 73 41 41 94</t>
  </si>
  <si>
    <t>M. Henri BOURASSEAU et Mme Christine PATARIN</t>
  </si>
  <si>
    <t>La Pierre Martin</t>
  </si>
  <si>
    <t>Saint-Cyr-des-Gats</t>
  </si>
  <si>
    <t>JOFFRE Christian</t>
  </si>
  <si>
    <t>VIEILLE COTE, CALVEL</t>
  </si>
  <si>
    <t>MIRAMONT-DE-QUERCY</t>
  </si>
  <si>
    <t>BTA0794700</t>
  </si>
  <si>
    <t>4686600</t>
  </si>
  <si>
    <t>50004865448746</t>
  </si>
  <si>
    <t>Christian JOFFRE</t>
  </si>
  <si>
    <t>cjoffre2@wanadoo.fr</t>
  </si>
  <si>
    <t>06 73 67 74 30</t>
  </si>
  <si>
    <t>Stockage de materiel d'exploitation</t>
  </si>
  <si>
    <t>BAJON</t>
  </si>
  <si>
    <t>Lieu dit LA VIGIE D AZIMONT</t>
  </si>
  <si>
    <t>32600</t>
  </si>
  <si>
    <t>AURADE</t>
  </si>
  <si>
    <t>BTA0804305</t>
  </si>
  <si>
    <t>5131900</t>
  </si>
  <si>
    <t>50073027474148</t>
  </si>
  <si>
    <t>Jean-Luc BAJON</t>
  </si>
  <si>
    <t>gaec.bajon@orange.fr</t>
  </si>
  <si>
    <t>06 77 85 74 15</t>
  </si>
  <si>
    <t>Bergerie, stockage de matériel, céréales, paille, foin, fourrage, bois et engrais</t>
  </si>
  <si>
    <t>Lieu dit La PEYRADE SUD, D98</t>
  </si>
  <si>
    <t>SAINT-HILAIRE-FOISSAC</t>
  </si>
  <si>
    <t>BTA0785075</t>
  </si>
  <si>
    <t>689160</t>
  </si>
  <si>
    <t>50041045083057</t>
  </si>
  <si>
    <t>BREUIL</t>
  </si>
  <si>
    <t>Lieu dit LA SOGNE</t>
  </si>
  <si>
    <t>SOURSAC</t>
  </si>
  <si>
    <t>BTA0787248</t>
  </si>
  <si>
    <t>691155</t>
  </si>
  <si>
    <t>50082000220495</t>
  </si>
  <si>
    <t>Hervé BREUIL</t>
  </si>
  <si>
    <t>fhbreuil@wanadoo.fr</t>
  </si>
  <si>
    <t>06 07 85 43 57</t>
  </si>
  <si>
    <t>Stockage de matériel et engins pour BTP, matériaux de construction et de maçonnerie</t>
  </si>
  <si>
    <t>ROMAN</t>
  </si>
  <si>
    <t>Lieu dit LA PUJADE, AVENUE DE LA RESISTANCE</t>
  </si>
  <si>
    <t>PEPIEUX</t>
  </si>
  <si>
    <t>BTA0803059</t>
  </si>
  <si>
    <t>5012050</t>
  </si>
  <si>
    <t>50025270642201</t>
  </si>
  <si>
    <t>Philippe ROMAN</t>
  </si>
  <si>
    <t>philippe-roman@wanadoo.fr</t>
  </si>
  <si>
    <t>06 24 65 08 04</t>
  </si>
  <si>
    <t>Stockage de matériel, atelier d'entretien et réparation de matériel</t>
  </si>
  <si>
    <t>GFA LE MOULIN DES QUINTS</t>
  </si>
  <si>
    <t>LES BOIS GUYON</t>
  </si>
  <si>
    <t>49260</t>
  </si>
  <si>
    <t>VAUDELNAY</t>
  </si>
  <si>
    <t>BTA0788667</t>
  </si>
  <si>
    <t>5005500</t>
  </si>
  <si>
    <t>50071290919738</t>
  </si>
  <si>
    <t>Bâtiment EST en exploitation
Code accès onduleur : 2459</t>
  </si>
  <si>
    <t>Harald HERMANS</t>
  </si>
  <si>
    <t>unchevalunchamp@orange.fr</t>
  </si>
  <si>
    <t>07 86 22 66 36</t>
  </si>
  <si>
    <t>Stockage légumes</t>
  </si>
  <si>
    <t>BATAILLE</t>
  </si>
  <si>
    <t>Lieu dit SAINT-FELIX</t>
  </si>
  <si>
    <t>09460</t>
  </si>
  <si>
    <t>QUERIGUT</t>
  </si>
  <si>
    <t>BTA0789295</t>
  </si>
  <si>
    <t>5182850</t>
  </si>
  <si>
    <t>50017455944960</t>
  </si>
  <si>
    <t>Jean-François BATAILLE</t>
  </si>
  <si>
    <t>jean-francois.bataille@wanadoo.fr</t>
  </si>
  <si>
    <t>06 74 76 44 80</t>
  </si>
  <si>
    <t>Lieu dit BONNEFOND</t>
  </si>
  <si>
    <t>19200</t>
  </si>
  <si>
    <t>BTA0792862</t>
  </si>
  <si>
    <t>5300200</t>
  </si>
  <si>
    <t>50049872703759</t>
  </si>
  <si>
    <t>GAEC Bonnefontaine</t>
  </si>
  <si>
    <t>Lieu dit Bonnefond</t>
  </si>
  <si>
    <t>448597971</t>
  </si>
  <si>
    <t>BOYER</t>
  </si>
  <si>
    <t>Lieu dit LE CHALCHADES</t>
  </si>
  <si>
    <t>TERMES</t>
  </si>
  <si>
    <t>BTA0785904</t>
  </si>
  <si>
    <t>4613600</t>
  </si>
  <si>
    <t>50021218588047</t>
  </si>
  <si>
    <t>JEAN-EMMANUEL BOYER</t>
  </si>
  <si>
    <t>joembo11016@orange.fr</t>
  </si>
  <si>
    <t>06 77 68 39 78</t>
  </si>
  <si>
    <t>SCEA DE LA VANRIE</t>
  </si>
  <si>
    <t>Lieu dit LA MARIOLLE</t>
  </si>
  <si>
    <t>LE PIN</t>
  </si>
  <si>
    <t>BTA0787434</t>
  </si>
  <si>
    <t>5739350</t>
  </si>
  <si>
    <t>50047846915468</t>
  </si>
  <si>
    <t>Le client est indisponible en matinée. Prévoir les interventions en après-midi
Bâtiment SUD en exploitation
Code accès onduleur : 2459</t>
  </si>
  <si>
    <t>Perrin SYLVAIN</t>
  </si>
  <si>
    <t>sylvainperrin@yahoo.fr</t>
  </si>
  <si>
    <t>07 88 59 82 38</t>
  </si>
  <si>
    <t>LEYRONAS</t>
  </si>
  <si>
    <t>Lieu dit LES CHAMPS</t>
  </si>
  <si>
    <t>07200</t>
  </si>
  <si>
    <t>SAINT-ETIENNE-DE-FONTBELLON</t>
  </si>
  <si>
    <t>BTA0804418</t>
  </si>
  <si>
    <t>5224350</t>
  </si>
  <si>
    <t>50025560080402</t>
  </si>
  <si>
    <t>Stéphane LEYRONAS</t>
  </si>
  <si>
    <t>stephaneleyronas@orange.fr</t>
  </si>
  <si>
    <t>06 76 69 35 53</t>
  </si>
  <si>
    <t>LE MAINE NEUF</t>
  </si>
  <si>
    <t>Le Maine Neuf</t>
  </si>
  <si>
    <t>JUIGNAC</t>
  </si>
  <si>
    <t>BTA0788981</t>
  </si>
  <si>
    <t>5237000</t>
  </si>
  <si>
    <t>50019626636190</t>
  </si>
  <si>
    <t>Bernard BLANLOEUIL</t>
  </si>
  <si>
    <t>nrjverte@yahoo.fr</t>
  </si>
  <si>
    <t>06 10 03 14 24</t>
  </si>
  <si>
    <t>M. Bernard BLANLOEUIL et Mme Dominique CAMUS, Mme Julia BLANLOEUIL et Mme Jade BLANLOEUIL</t>
  </si>
  <si>
    <t>2 rue du Lutier Saint-Laurent-de-Belzagot (A&amp;B) et 1 rue du Levant Saint-Laurent-de-Belzagot (C&amp;D)</t>
  </si>
  <si>
    <t>Montmoreau</t>
  </si>
  <si>
    <t>ROCHE PAUSE</t>
  </si>
  <si>
    <t>43300</t>
  </si>
  <si>
    <t>DESGES</t>
  </si>
  <si>
    <t>BTA0785704</t>
  </si>
  <si>
    <t>4711750</t>
  </si>
  <si>
    <t>50099945032430</t>
  </si>
  <si>
    <t>LHOSTIS</t>
  </si>
  <si>
    <t>ROUTE DE MONTAUBAN</t>
  </si>
  <si>
    <t>31340</t>
  </si>
  <si>
    <t>LE BORN</t>
  </si>
  <si>
    <t>BTA0780581</t>
  </si>
  <si>
    <t>4959400</t>
  </si>
  <si>
    <t>50027296729898</t>
  </si>
  <si>
    <t>Etienne LHOSTIS</t>
  </si>
  <si>
    <t>e-lhostis@orange.fr</t>
  </si>
  <si>
    <t>lhostiset@orange.fr</t>
  </si>
  <si>
    <t>07 81 98 40 41</t>
  </si>
  <si>
    <t>CHASSOT</t>
  </si>
  <si>
    <t>Lieu dit LES BABUTS</t>
  </si>
  <si>
    <t>SALIGNY-SUR-ROUDON</t>
  </si>
  <si>
    <t>BTA0780946</t>
  </si>
  <si>
    <t>5105850</t>
  </si>
  <si>
    <t>50040610929662</t>
  </si>
  <si>
    <t>Jérôme CHASSOT</t>
  </si>
  <si>
    <t>chassot.sdr@orange.fr</t>
  </si>
  <si>
    <t>06 89 99 26 23</t>
  </si>
  <si>
    <t>LA GARENNE AU JARD</t>
  </si>
  <si>
    <t>RUE DE LA GARENNE AUX JARDS</t>
  </si>
  <si>
    <t>85200</t>
  </si>
  <si>
    <t>AUCHAY-SUR-VENDEE</t>
  </si>
  <si>
    <t>BTA0779672</t>
  </si>
  <si>
    <t>684749</t>
  </si>
  <si>
    <t>50091406877554</t>
  </si>
  <si>
    <t>Eddy ROUGET</t>
  </si>
  <si>
    <t>eddyrouger.tp@gmail.com</t>
  </si>
  <si>
    <t>06 50 83 46 11</t>
  </si>
  <si>
    <t>M. Eddy ROUGER</t>
  </si>
  <si>
    <t>5 bis rue du Parc</t>
  </si>
  <si>
    <t>Le Poire-sur-Velluire</t>
  </si>
  <si>
    <t>85770</t>
  </si>
  <si>
    <t>111 ROUTE DU GROS CHENE, LES GREZES</t>
  </si>
  <si>
    <t>ALLEMANS</t>
  </si>
  <si>
    <t>BTA0804335</t>
  </si>
  <si>
    <t>4703850</t>
  </si>
  <si>
    <t>50012680196351</t>
  </si>
  <si>
    <t>Remy CHATEAU</t>
  </si>
  <si>
    <t>remy.chateau49@gmail.com</t>
  </si>
  <si>
    <t>06 08 13 43 28</t>
  </si>
  <si>
    <t>Stockage de matériel, paille, foin et  fourrage</t>
  </si>
  <si>
    <t>BELLET</t>
  </si>
  <si>
    <t>Lieu dit LES DUCS</t>
  </si>
  <si>
    <t>05160</t>
  </si>
  <si>
    <t>LE SAUZE-DU-LAC</t>
  </si>
  <si>
    <t>BTA0780501</t>
  </si>
  <si>
    <t>686185</t>
  </si>
  <si>
    <t>50045965488293</t>
  </si>
  <si>
    <t>Fabrice BELLET</t>
  </si>
  <si>
    <t>Belletfabrice@orange.fr</t>
  </si>
  <si>
    <t>06 76 72 50 95</t>
  </si>
  <si>
    <t>Lieu dit Les Ducs</t>
  </si>
  <si>
    <t>LE SAUZE-DU LAC</t>
  </si>
  <si>
    <t>Stockage de matériel agricole, Atelier</t>
  </si>
  <si>
    <t>LES SAGNES</t>
  </si>
  <si>
    <t>04140</t>
  </si>
  <si>
    <t>SEYNE</t>
  </si>
  <si>
    <t>BTA0795044</t>
  </si>
  <si>
    <t>5059300</t>
  </si>
  <si>
    <t>50064923339858</t>
  </si>
  <si>
    <t>Carole MONIN</t>
  </si>
  <si>
    <t>geocarole@orange.fr</t>
  </si>
  <si>
    <t>cleoblanc27@gmail.com</t>
  </si>
  <si>
    <t>0673361900</t>
  </si>
  <si>
    <t>0787482042</t>
  </si>
  <si>
    <t>Henri BLANC et Carole MONIN</t>
  </si>
  <si>
    <t>route de Pompiery</t>
  </si>
  <si>
    <t>Seyne</t>
  </si>
  <si>
    <t>01140</t>
  </si>
  <si>
    <t>Bergerie, chèvrerie, stockage de paille, foin et fourrage</t>
  </si>
  <si>
    <t>LA CHEVRIE</t>
  </si>
  <si>
    <t>Lieu dit LA CHEVRIE</t>
  </si>
  <si>
    <t>LA GENETOUZE</t>
  </si>
  <si>
    <t>BTA0746405</t>
  </si>
  <si>
    <t>660608</t>
  </si>
  <si>
    <t>50098934800877</t>
  </si>
  <si>
    <t>06 85 92 54 59</t>
  </si>
  <si>
    <t>Fourrage</t>
  </si>
  <si>
    <t>SEGOND</t>
  </si>
  <si>
    <t>VOIE COMMUNALE N 3 ZA LES PLANES</t>
  </si>
  <si>
    <t>81290</t>
  </si>
  <si>
    <t>SAINT-AFFRIQUE-LESMONTAGNES</t>
  </si>
  <si>
    <t>BTA0786155</t>
  </si>
  <si>
    <t>4640800</t>
  </si>
  <si>
    <t>50032651272199</t>
  </si>
  <si>
    <t>Francis SEGOND</t>
  </si>
  <si>
    <t>sarlger81@laposte.net</t>
  </si>
  <si>
    <t>06 17 82 05 64</t>
  </si>
  <si>
    <t>Stockage de matériel pour BTP et materieux de chantier</t>
  </si>
  <si>
    <t>Lieu dit LE PLAN EST</t>
  </si>
  <si>
    <t>LE BRUSQUET</t>
  </si>
  <si>
    <t>BTA0755301</t>
  </si>
  <si>
    <t>665795</t>
  </si>
  <si>
    <t>50011813624391</t>
  </si>
  <si>
    <t>Stockage de matériel, paille, foin et bergerie</t>
  </si>
  <si>
    <t>VIGOUROUX</t>
  </si>
  <si>
    <t>CHEMIN DU JONQUAS PIERRIERE</t>
  </si>
  <si>
    <t>LES PLANS</t>
  </si>
  <si>
    <t>BTA0777934</t>
  </si>
  <si>
    <t>682578</t>
  </si>
  <si>
    <t>50024547253893</t>
  </si>
  <si>
    <t>Frederic VIGOUROUX</t>
  </si>
  <si>
    <t>frederic.vigouroux4@gmail.com</t>
  </si>
  <si>
    <t>06 22 42 15 01</t>
  </si>
  <si>
    <t>CHEZ SABOURIN-LE BRIZARD SUD</t>
  </si>
  <si>
    <t>17520</t>
  </si>
  <si>
    <t>ARTHENAC</t>
  </si>
  <si>
    <t>BTA0794895</t>
  </si>
  <si>
    <t>4682700</t>
  </si>
  <si>
    <t>50087499322685</t>
  </si>
  <si>
    <t>Jean-Jacques BONNAUDEAU</t>
  </si>
  <si>
    <t>Frank BONNAUDEAU</t>
  </si>
  <si>
    <t>23 impasse Moque Douzil</t>
  </si>
  <si>
    <t>Brie-sous-Archiac</t>
  </si>
  <si>
    <t>Stockage de matériel (véhicules, pressoirs, cuves de stockage)</t>
  </si>
  <si>
    <t>LA BIOCHERE Neuf</t>
  </si>
  <si>
    <t>Lieu dit LA BIOCHERE</t>
  </si>
  <si>
    <t>BTA0746301</t>
  </si>
  <si>
    <t>660493</t>
  </si>
  <si>
    <t>50078526993402</t>
  </si>
  <si>
    <t>01 45 23 33 78</t>
  </si>
  <si>
    <t>JOFFRE Emile</t>
  </si>
  <si>
    <t>CHEMIN D'AUVILLAR PEYRETS</t>
  </si>
  <si>
    <t>82210</t>
  </si>
  <si>
    <t>SAINT-NICOLAS-DE-LA-GRAVE</t>
  </si>
  <si>
    <t>BTA0771722</t>
  </si>
  <si>
    <t>677595</t>
  </si>
  <si>
    <t>50074619933882</t>
  </si>
  <si>
    <t>Emile JOFFRE</t>
  </si>
  <si>
    <t>06 47 55 65 83</t>
  </si>
  <si>
    <t>BOURRIER Ovins</t>
  </si>
  <si>
    <t>Lieu dit LA SANGUINIERE</t>
  </si>
  <si>
    <t>BTA0780891</t>
  </si>
  <si>
    <t>5074750</t>
  </si>
  <si>
    <t>50000089809470</t>
  </si>
  <si>
    <t>Sébastien BOURRIER</t>
  </si>
  <si>
    <t>sebastien.bourrier@gmail.com</t>
  </si>
  <si>
    <t>06 74 84 56 76</t>
  </si>
  <si>
    <t>Bergerie(ovins), stockage de matériel, paille, foin et fourrage</t>
  </si>
  <si>
    <t>BARRY</t>
  </si>
  <si>
    <t>QUARTIER PAOUNAS</t>
  </si>
  <si>
    <t>SERVAS</t>
  </si>
  <si>
    <t>BTA0767377</t>
  </si>
  <si>
    <t>673820</t>
  </si>
  <si>
    <t>50098063896407</t>
  </si>
  <si>
    <t>Laurent BARRY</t>
  </si>
  <si>
    <t>laurentbarry30@gmail.com</t>
  </si>
  <si>
    <t>06 73 38 41 94</t>
  </si>
  <si>
    <t>M. Laurent BARRY, Mme Christiane MALHAUTIER et Mme Véronique BARRY</t>
  </si>
  <si>
    <t>MENE SAFFRANE</t>
  </si>
  <si>
    <t>Lieu dit DARRE PEES</t>
  </si>
  <si>
    <t>64870</t>
  </si>
  <si>
    <t>ESCOUT</t>
  </si>
  <si>
    <t>BTA0778755</t>
  </si>
  <si>
    <t>4990950</t>
  </si>
  <si>
    <t>50054793123147</t>
  </si>
  <si>
    <t>Frederic MÈNE-SAFFRANÉ</t>
  </si>
  <si>
    <t>menesaffranefrederic@orange.fr</t>
  </si>
  <si>
    <t>06 72 74 55 91</t>
  </si>
  <si>
    <t>Stabulation, stockage de matériel, stockage de paille, foin et fourrage, saisonnier ou non, dans la stricte limite de 50 % max.</t>
  </si>
  <si>
    <t>COMBES</t>
  </si>
  <si>
    <t>LE PEYROU</t>
  </si>
  <si>
    <t>34725</t>
  </si>
  <si>
    <t>SAINT-ANDRE-DE-SANGONIS</t>
  </si>
  <si>
    <t>BTA0777721</t>
  </si>
  <si>
    <t>681836</t>
  </si>
  <si>
    <t>50016008903624</t>
  </si>
  <si>
    <t>Victor COMBES</t>
  </si>
  <si>
    <t>gaec.combes@free.fr</t>
  </si>
  <si>
    <t>06 88 67 89 68</t>
  </si>
  <si>
    <t>LA BOULE</t>
  </si>
  <si>
    <t>1, LA BOULE</t>
  </si>
  <si>
    <t>79240</t>
  </si>
  <si>
    <t>Vernoux-en-Gâtine</t>
  </si>
  <si>
    <t>471119</t>
  </si>
  <si>
    <t>257259</t>
  </si>
  <si>
    <t>EDL 257259</t>
  </si>
  <si>
    <t>Christian AIRAUD</t>
  </si>
  <si>
    <t>christianairaud@orange.fr</t>
  </si>
  <si>
    <t>06 25 93 41 38</t>
  </si>
  <si>
    <t>01 42 41 65 24</t>
  </si>
  <si>
    <t>La Boule</t>
  </si>
  <si>
    <t>VERNOUX-EN-GATINE</t>
  </si>
  <si>
    <t>LA BIOCHERE Existant</t>
  </si>
  <si>
    <t>BTA0746302</t>
  </si>
  <si>
    <t>660494</t>
  </si>
  <si>
    <t>50067817876209</t>
  </si>
  <si>
    <t>Patrick GAUTIER et Chantal PONDEVIE</t>
  </si>
  <si>
    <t>GREAU</t>
  </si>
  <si>
    <t>97 CHEMIN DE LA BROUSSARDIERE</t>
  </si>
  <si>
    <t>17610</t>
  </si>
  <si>
    <t>CHANIERS</t>
  </si>
  <si>
    <t>BTA0780450</t>
  </si>
  <si>
    <t>685926</t>
  </si>
  <si>
    <t>50000234663482</t>
  </si>
  <si>
    <t>Jérome GREAU</t>
  </si>
  <si>
    <t>jerome.greau@hotmail.com</t>
  </si>
  <si>
    <t>06 64 41 71 98</t>
  </si>
  <si>
    <t>Jérôme GREAU</t>
  </si>
  <si>
    <t>97 A Route des Labours La Broussardière</t>
  </si>
  <si>
    <t>Chaniers</t>
  </si>
  <si>
    <t>Carrière, boxes à chevaux, stockage de matériel, paille, foin et fourrage</t>
  </si>
  <si>
    <t>NUNES</t>
  </si>
  <si>
    <t>Lieu dit MAYNE NEOU</t>
  </si>
  <si>
    <t>47430</t>
  </si>
  <si>
    <t>LE-MAS-D'AGENAIS</t>
  </si>
  <si>
    <t>BTA0779797</t>
  </si>
  <si>
    <t>684961</t>
  </si>
  <si>
    <t>50006313339524</t>
  </si>
  <si>
    <t>Benoit NUNES</t>
  </si>
  <si>
    <t>benoit.nunes@sfr.fr</t>
  </si>
  <si>
    <t>06 89 32 87 49</t>
  </si>
  <si>
    <t>Lieu dit SUC LONG</t>
  </si>
  <si>
    <t>LAPLEAU</t>
  </si>
  <si>
    <t>BTA0780006</t>
  </si>
  <si>
    <t>684967</t>
  </si>
  <si>
    <t>50038729598209</t>
  </si>
  <si>
    <t>sufebe@orange.fr</t>
  </si>
  <si>
    <t>07 86 96 29 56</t>
  </si>
  <si>
    <t>BOURRIER Laitière</t>
  </si>
  <si>
    <t>BTA0780717</t>
  </si>
  <si>
    <t>686813</t>
  </si>
  <si>
    <t>50001102970229</t>
  </si>
  <si>
    <t>BARRAU</t>
  </si>
  <si>
    <t>LA PLAINE D'ANADEAU</t>
  </si>
  <si>
    <t>83149</t>
  </si>
  <si>
    <t>BRAS</t>
  </si>
  <si>
    <t>BTA0768611</t>
  </si>
  <si>
    <t>675323</t>
  </si>
  <si>
    <t>50041047608549</t>
  </si>
  <si>
    <t>Severine BARRAU</t>
  </si>
  <si>
    <t>severine.barrau@club-internet.fr</t>
  </si>
  <si>
    <t>06 15 78 67 26</t>
  </si>
  <si>
    <t>Stockage de matériel, caveau viticole, paille, foin et fourrage</t>
  </si>
  <si>
    <t>MASSOUBRE</t>
  </si>
  <si>
    <t>Lieu dit LA GANE</t>
  </si>
  <si>
    <t>LAFAGE-SUR-SOMBRE</t>
  </si>
  <si>
    <t>BTA0765979</t>
  </si>
  <si>
    <t>673397</t>
  </si>
  <si>
    <t>50023100790027</t>
  </si>
  <si>
    <t>Joël MASSOUBRE</t>
  </si>
  <si>
    <t>joel.massoubre@orange.fr</t>
  </si>
  <si>
    <t>06 71 81 18 97</t>
  </si>
  <si>
    <t>Stabulation, stockage de matériel, paille, foin et fourrage, saisonnier ou non, dans la stricte limite de 50% max.</t>
  </si>
  <si>
    <t>Lieu dit LES PLANTADES</t>
  </si>
  <si>
    <t>LA GARDE</t>
  </si>
  <si>
    <t>BTA0767488</t>
  </si>
  <si>
    <t>674536</t>
  </si>
  <si>
    <t>50055807408289</t>
  </si>
  <si>
    <t>DISTRIBBOIS (A) et S.C.I. DSP (B)</t>
  </si>
  <si>
    <t>(A) 250 route nationale 97  (B) 209 chemin Gaetan Gastaldo</t>
  </si>
  <si>
    <t>(A) LA GARDE (B) TOULON</t>
  </si>
  <si>
    <t>(A) 83130 (B) 83200</t>
  </si>
  <si>
    <t>481995702</t>
  </si>
  <si>
    <t>Stockage et séchage de bois.</t>
  </si>
  <si>
    <t>LA CHARRIE</t>
  </si>
  <si>
    <t>Lieu dit LA CHARRIE</t>
  </si>
  <si>
    <t>79310</t>
  </si>
  <si>
    <t>VERRUYES</t>
  </si>
  <si>
    <t>463043</t>
  </si>
  <si>
    <t>461392</t>
  </si>
  <si>
    <t>EDL 243942</t>
  </si>
  <si>
    <t>Dominique ROBIN</t>
  </si>
  <si>
    <t>robin0213@orange.fr</t>
  </si>
  <si>
    <t>06 23 52 31 23</t>
  </si>
  <si>
    <t>LES CHAMBARELS</t>
  </si>
  <si>
    <t>FORCALQUIER</t>
  </si>
  <si>
    <t>BTA0775350</t>
  </si>
  <si>
    <t>680036</t>
  </si>
  <si>
    <t>50007471517899</t>
  </si>
  <si>
    <t>Gilles PAYAN</t>
  </si>
  <si>
    <t>Fourrage, pailles, matériel, semences et engrais</t>
  </si>
  <si>
    <t>LE FIEF DE LA TRAINE 1</t>
  </si>
  <si>
    <t>115 Rue Pierre Chantelauze, Fief de la Traîne</t>
  </si>
  <si>
    <t>79000</t>
  </si>
  <si>
    <t>NIORT</t>
  </si>
  <si>
    <t>BTA0743481</t>
  </si>
  <si>
    <t>657659</t>
  </si>
  <si>
    <t>50096185413069</t>
  </si>
  <si>
    <t>René FAURE</t>
  </si>
  <si>
    <t>rene.faure74@orange.fr</t>
  </si>
  <si>
    <t>06 82 42 28 59</t>
  </si>
  <si>
    <t>René FAURE et Suzanne MITARD</t>
  </si>
  <si>
    <t>115 rue de Chantelauze</t>
  </si>
  <si>
    <t>Niort</t>
  </si>
  <si>
    <t>NEBOUT</t>
  </si>
  <si>
    <t>4 RUE DE CHEZ SEGUIN</t>
  </si>
  <si>
    <t>17260</t>
  </si>
  <si>
    <t>VILLARS-EN-PONS</t>
  </si>
  <si>
    <t>BTA0768347</t>
  </si>
  <si>
    <t>674503</t>
  </si>
  <si>
    <t>50027875991839</t>
  </si>
  <si>
    <t>Didier NEBOUT</t>
  </si>
  <si>
    <t>didier_nebout@orange.fr</t>
  </si>
  <si>
    <t>06 85 20 50 55</t>
  </si>
  <si>
    <t>Stockage de materiel à usage agricole et d'engrais</t>
  </si>
  <si>
    <t>HARMATT</t>
  </si>
  <si>
    <t>Lieu dit L'ETAVENIE</t>
  </si>
  <si>
    <t>24320</t>
  </si>
  <si>
    <t>SAINT-PAUL-LIZONNE</t>
  </si>
  <si>
    <t>BTA0778753</t>
  </si>
  <si>
    <t>683461</t>
  </si>
  <si>
    <t>50097630272278</t>
  </si>
  <si>
    <t>Cyril HARMATT</t>
  </si>
  <si>
    <t>harmatt.cyril@orange.fr</t>
  </si>
  <si>
    <t>06 46 19 56 92</t>
  </si>
  <si>
    <t>LE PUYBRUNET</t>
  </si>
  <si>
    <t>Puybrunet 338 rue de la Boissière</t>
  </si>
  <si>
    <t>16110</t>
  </si>
  <si>
    <t>MARILLAC-LE-FRANC</t>
  </si>
  <si>
    <t>BTA0764888</t>
  </si>
  <si>
    <t>672598</t>
  </si>
  <si>
    <t>50021074991357</t>
  </si>
  <si>
    <t>Guy SAUMON</t>
  </si>
  <si>
    <t>jlsaumon69@gmail.com</t>
  </si>
  <si>
    <t>06 32 14 20 61</t>
  </si>
  <si>
    <t>Puybrunet</t>
  </si>
  <si>
    <t>MARILLAC LE FRANC</t>
  </si>
  <si>
    <t>BLARD</t>
  </si>
  <si>
    <t>LE COLOMBIER</t>
  </si>
  <si>
    <t>MONTMEYRAN</t>
  </si>
  <si>
    <t>BTA0757815</t>
  </si>
  <si>
    <t>667488</t>
  </si>
  <si>
    <t>50097919116230</t>
  </si>
  <si>
    <t>Gael BLARD</t>
  </si>
  <si>
    <t>blarou@hotmail.fr</t>
  </si>
  <si>
    <t>06 79 18 17 26</t>
  </si>
  <si>
    <t>Gaël BLARD</t>
  </si>
  <si>
    <t>Abritage des legumes et materiel</t>
  </si>
  <si>
    <t>LE FIEF DE LA TRAINE 2</t>
  </si>
  <si>
    <t>Fief de la Traîne</t>
  </si>
  <si>
    <t>BTA0744892</t>
  </si>
  <si>
    <t>659711</t>
  </si>
  <si>
    <t>50068689029619</t>
  </si>
  <si>
    <t>EARL Des Frenes</t>
  </si>
  <si>
    <t>115 rue Pierre Chantelauze</t>
  </si>
  <si>
    <t>405157199</t>
  </si>
  <si>
    <t>LE MAINE PINAUD</t>
  </si>
  <si>
    <t>Le Maine Pinaud</t>
  </si>
  <si>
    <t>16450</t>
  </si>
  <si>
    <t>SAINT-CLAUD</t>
  </si>
  <si>
    <t>BTA0733957</t>
  </si>
  <si>
    <t>651214</t>
  </si>
  <si>
    <t>50008921789027</t>
  </si>
  <si>
    <t>Sébastien DUCHAMBON</t>
  </si>
  <si>
    <t>sebastien.duchambon@sfr.fr</t>
  </si>
  <si>
    <t>06 21 75 52 68</t>
  </si>
  <si>
    <t>LE GRAND MAINE</t>
  </si>
  <si>
    <t>Le Grand Maine</t>
  </si>
  <si>
    <t>16380</t>
  </si>
  <si>
    <t>FEUILLADE</t>
  </si>
  <si>
    <t>BTA0731268</t>
  </si>
  <si>
    <t>652423</t>
  </si>
  <si>
    <t>50069121860024</t>
  </si>
  <si>
    <t>Gilles DELAGE</t>
  </si>
  <si>
    <t>gilles.delage7@orange.fr</t>
  </si>
  <si>
    <t>thierrydelage2@orange.fr</t>
  </si>
  <si>
    <t>06 76 26 43 57</t>
  </si>
  <si>
    <t>06 22 96 72 16</t>
  </si>
  <si>
    <t>Le Grand Maine no. 2</t>
  </si>
  <si>
    <t>CHEZ GERVAIS</t>
  </si>
  <si>
    <t>Chez Gervais</t>
  </si>
  <si>
    <t>BTA0721007</t>
  </si>
  <si>
    <t>640395</t>
  </si>
  <si>
    <t>50083741886033</t>
  </si>
  <si>
    <t>Pascal TABEAUD</t>
  </si>
  <si>
    <t>laurence3006@laposte.net</t>
  </si>
  <si>
    <t>0685193430</t>
  </si>
  <si>
    <t>Yves TABEAUD</t>
  </si>
  <si>
    <t>D147</t>
  </si>
  <si>
    <t>79330</t>
  </si>
  <si>
    <t>SAINT-VARENT</t>
  </si>
  <si>
    <t>443961</t>
  </si>
  <si>
    <t>2020-P3-012</t>
  </si>
  <si>
    <t>EDL 248801</t>
  </si>
  <si>
    <t>06 14 62 14 59</t>
  </si>
  <si>
    <t>LUMELEC</t>
  </si>
  <si>
    <t>Elevage de canards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</si>
</sst>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"/>
    <numFmt numFmtId="166" formatCode="_-* #,##0.00\ [$€-40C]_-;\-* #,##0.00\ [$€-40C]_-;_-* &quot;-&quot;??\ [$€-40C]_-;_-@_-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3" fontId="0" fillId="0" borderId="0" xfId="0" applyNumberFormat="1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1" fontId="0" fillId="0" borderId="1" xfId="0" applyNumberFormat="1" applyBorder="1"/>
    <xf numFmtId="1" fontId="0" fillId="0" borderId="0" xfId="6" applyNumberFormat="1" applyFont="1"/>
    <xf numFmtId="9" fontId="0" fillId="0" borderId="0" xfId="6" applyFont="1" applyAlignment="1">
      <alignment horizontal="center"/>
    </xf>
    <xf numFmtId="0" fontId="0" fillId="0" borderId="3" xfId="0" applyBorder="1" applyAlignment="1">
      <alignment horizontal="center"/>
    </xf>
    <xf numFmtId="1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9" fontId="6" fillId="3" borderId="0" xfId="6" applyFont="1" applyFill="1" applyAlignment="1">
      <alignment horizontal="center" wrapText="1"/>
    </xf>
    <xf numFmtId="0" fontId="5" fillId="2" borderId="2" xfId="0" applyFont="1" applyFill="1" applyBorder="1" applyAlignment="1">
      <alignment horizontal="centerContinuous"/>
    </xf>
    <xf numFmtId="0" fontId="6" fillId="3" borderId="0" xfId="0" applyFont="1" applyFill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9" fontId="0" fillId="0" borderId="0" xfId="6" applyFont="1" applyBorder="1" applyAlignment="1">
      <alignment horizontal="center"/>
    </xf>
    <xf numFmtId="1" fontId="0" fillId="0" borderId="4" xfId="0" applyNumberFormat="1" applyBorder="1"/>
    <xf numFmtId="14" fontId="0" fillId="0" borderId="5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5" fillId="2" borderId="2" xfId="0" applyFont="1" applyFill="1" applyBorder="1" applyAlignment="1">
      <alignment horizontal="center"/>
    </xf>
  </cellXfs>
  <cellStyles count="7">
    <cellStyle name="Hyperlink" xfId="3" xr:uid="{8FE350C3-4202-49A4-B8F5-E5ED5216D153}"/>
    <cellStyle name="Normal" xfId="0" builtinId="0"/>
    <cellStyle name="Normal 11" xfId="5" xr:uid="{10BC2756-FB57-41FE-B32F-87CB726A222C}"/>
    <cellStyle name="Normal 13" xfId="4" xr:uid="{0F70AD48-74F5-45CD-865D-0D17BF6F7A36}"/>
    <cellStyle name="Normal 5" xfId="1" xr:uid="{8B921FEC-8580-4D28-B903-E2E31417C5F1}"/>
    <cellStyle name="Normal 7" xfId="2" xr:uid="{0DF5D10E-A044-4643-9F92-366CB6B4E446}"/>
    <cellStyle name="Pourcentage" xfId="6" builtinId="5"/>
  </cellStyles>
  <dxfs count="1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66" formatCode="_-* #,##0.00\ [$€-40C]_-;\-* #,##0.00\ [$€-40C]_-;_-* &quot;-&quot;??\ [$€-40C]_-;_-@_-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4" formatCode="#,##0.00"/>
    </dxf>
    <dxf>
      <numFmt numFmtId="14" formatCode="0.00%"/>
    </dxf>
    <dxf>
      <numFmt numFmtId="30" formatCode="@"/>
    </dxf>
    <dxf>
      <numFmt numFmtId="0" formatCode="General"/>
    </dxf>
    <dxf>
      <numFmt numFmtId="30" formatCode="@"/>
    </dxf>
    <dxf>
      <numFmt numFmtId="4" formatCode="#,##0.00"/>
    </dxf>
    <dxf>
      <numFmt numFmtId="14" formatCode="0.00%"/>
    </dxf>
    <dxf>
      <numFmt numFmtId="0" formatCode="General"/>
    </dxf>
    <dxf>
      <numFmt numFmtId="30" formatCode="@"/>
    </dxf>
    <dxf>
      <numFmt numFmtId="19" formatCode="dd/mm/yyyy"/>
    </dxf>
    <dxf>
      <numFmt numFmtId="19" formatCode="dd/mm/yyyy"/>
    </dxf>
    <dxf>
      <numFmt numFmtId="0" formatCode="General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165" formatCode="#,##0.00000"/>
    </dxf>
    <dxf>
      <numFmt numFmtId="165" formatCode="#,##0.00000"/>
    </dxf>
    <dxf>
      <numFmt numFmtId="3" formatCode="#,##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164" formatCode="#,##0.0000"/>
    </dxf>
    <dxf>
      <numFmt numFmtId="19" formatCode="dd/mm/yyyy"/>
    </dxf>
    <dxf>
      <numFmt numFmtId="30" formatCode="@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2)" backgroundRefresh="0" connectionId="1" xr16:uid="{3ECB40EC-4987-46D1-B27D-39FDECF24FB3}" autoFormatId="16" applyNumberFormats="0" applyBorderFormats="0" applyFontFormats="0" applyPatternFormats="0" applyAlignmentFormats="0" applyWidthHeightFormats="0">
  <queryTableRefresh nextId="83">
    <queryTableFields count="82">
      <queryTableField id="3" name="ID Pipedrive" tableColumnId="1"/>
      <queryTableField id="1" name="undefined" tableColumnId="2"/>
      <queryTableField id="2" name="Projet/SPV" tableColumnId="3"/>
      <queryTableField id="6" name="Date Mise en Service" tableColumnId="4"/>
      <queryTableField id="17" name="Adresse" tableColumnId="5"/>
      <queryTableField id="18" name="Code Postale" tableColumnId="6"/>
      <queryTableField id="19" name="Ville" tableColumnId="7"/>
      <queryTableField id="20" name="Contrat de bail" tableColumnId="8"/>
      <queryTableField id="44" name="Type de centrale" tableColumnId="9"/>
      <queryTableField id="21" name="Client" tableColumnId="10"/>
      <queryTableField id="22" name="Type de Contrat" tableColumnId="11"/>
      <queryTableField id="23" name="Numéro BTA" tableColumnId="12"/>
      <queryTableField id="4" name="Numéro CARD-I" tableColumnId="13"/>
      <queryTableField id="50" name="Nombre de PDL" tableColumnId="14"/>
      <queryTableField id="5" name="Numéro PRM" tableColumnId="15"/>
      <queryTableField id="7" name="Puissance crête (kWc)" tableColumnId="16"/>
      <queryTableField id="43" name="Puissance maximale (kVA)" tableColumnId="17"/>
      <queryTableField id="11" name="Puissance souscrite (kVA)" tableColumnId="18"/>
      <queryTableField id="56" name="Productible P50 kWh/kWc/an" tableColumnId="19"/>
      <queryTableField id="57" name="Production P50 kWh/an" tableColumnId="20"/>
      <queryTableField id="58" name="Productible Variabilité P50" tableColumnId="21"/>
      <queryTableField id="75" name="PR Go construction" tableColumnId="22"/>
      <queryTableField id="76" name="Productible Go Construction kWh/kWc" tableColumnId="23"/>
      <queryTableField id="48" name="Domaine de tension" tableColumnId="24"/>
      <queryTableField id="55" name="Date Achat T0" tableColumnId="25"/>
      <queryTableField id="8" name="Tarif d'Achat (€/kWh)" tableColumnId="26"/>
      <queryTableField id="80" name="Convention Tarif Essais" tableColumnId="27"/>
      <queryTableField id="70" name="Contrat ACC" tableColumnId="28"/>
      <queryTableField id="9" name="Acheteur" tableColumnId="29"/>
      <queryTableField id="10" name="GRD" tableColumnId="30"/>
      <queryTableField id="12" name="Surface modules (m²)" tableColumnId="31"/>
      <queryTableField id="15" name="Latitude" tableColumnId="32"/>
      <queryTableField id="16" name="Longitude" tableColumnId="33"/>
      <queryTableField id="24" name="Financement" tableColumnId="34"/>
      <queryTableField id="47" name="Mentions particulières" tableColumnId="35"/>
      <queryTableField id="25" name="Mainteneur" tableColumnId="36"/>
      <queryTableField id="26" name="Nom complet du Client" tableColumnId="37"/>
      <queryTableField id="27" name="Email principal du client" tableColumnId="38"/>
      <queryTableField id="28" name="Email secondaire client" tableColumnId="39"/>
      <queryTableField id="29" name="Téléphone principal client" tableColumnId="40"/>
      <queryTableField id="30" name="Téléphone secondaire client" tableColumnId="41"/>
      <queryTableField id="13" name="Installateur électrique" tableColumnId="42"/>
      <queryTableField id="14" name="Installateur structure" tableColumnId="43"/>
      <queryTableField id="31" name="Loyer" tableColumnId="44"/>
      <queryTableField id="32" name="Échéance" tableColumnId="45"/>
      <queryTableField id="33" name="Echéance Année en cours" tableColumnId="46"/>
      <queryTableField id="34" name="Type de Loyer" tableColumnId="47"/>
      <queryTableField id="35" name="TVA Applicable" tableColumnId="48"/>
      <queryTableField id="36" name="% du CA" tableColumnId="49"/>
      <queryTableField id="37" name="Montant du Loyer fixe" tableColumnId="50"/>
      <queryTableField id="42" name="Fréquence" tableColumnId="51"/>
      <queryTableField id="38" name="Loyer &gt;20ans" tableColumnId="52"/>
      <queryTableField id="40" name="Type de Loyer Post 20ans" tableColumnId="53"/>
      <queryTableField id="41" name="% Du CA Post 20ans" tableColumnId="54"/>
      <queryTableField id="39" name="Montant du Loyer fixe (&gt;20ans)" tableColumnId="55"/>
      <queryTableField id="45" name="Chargé d'Exploitation" tableColumnId="56"/>
      <queryTableField id="46" name="Gestionnaire d'Actif" tableColumnId="57"/>
      <queryTableField id="49" name="Chef de Projet" tableColumnId="58"/>
      <queryTableField id="71" name="Chargé d'affaire" tableColumnId="59"/>
      <queryTableField id="51" name="Reference Contrat Maintenance" tableColumnId="60"/>
      <queryTableField id="52" name="Reference Contrat Developpement" tableColumnId="61"/>
      <queryTableField id="53" name="Reference Contrat O&amp;M" tableColumnId="62"/>
      <queryTableField id="54" name="Refacturation Girasole Services" tableColumnId="63"/>
      <queryTableField id="59" name="Refacturation Télésurveillance F2" tableColumnId="64"/>
      <queryTableField id="67" name="Date Début Exploitation" tableColumnId="65"/>
      <queryTableField id="60" name="Date PV Transfert en Exploitation signé" tableColumnId="66"/>
      <queryTableField id="61" name="Date PV de fin de garantie de performance signé" tableColumnId="67"/>
      <queryTableField id="77" name="Montant Pénalités EPC 1an" tableColumnId="68"/>
      <queryTableField id="78" name="Montant Pénalités Retard Contrat d'achat" tableColumnId="69"/>
      <queryTableField id="62" name="Titulaire du Bail" tableColumnId="70"/>
      <queryTableField id="64" name="Adresse Titulaire du Bail" tableColumnId="71"/>
      <queryTableField id="65" name="Ville Titulaire du Bail" tableColumnId="72"/>
      <queryTableField id="66" name="Code Postale Titulaire du Bail" tableColumnId="73"/>
      <queryTableField id="69" name="SIREN (si applicable)" tableColumnId="74"/>
      <queryTableField id="79" name="Date fin du Bail" tableColumnId="75"/>
      <queryTableField id="63" name="Activité sous toiture" tableColumnId="76"/>
      <queryTableField id="73" name="Date Début Contrat d'Achat OA" tableColumnId="77"/>
      <queryTableField id="74" name="Date fin du Contrat d'Achat OA" tableColumnId="78"/>
      <queryTableField id="72" name="Date signature Contrat D'achat OA" tableColumnId="79"/>
      <queryTableField id="68" name="Indexation du Loyer" tableColumnId="80"/>
      <queryTableField id="82" name="Type d'élément" tableColumnId="81"/>
      <queryTableField id="81" name="Chemin d'accès" tableColumnId="8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41C02-4FFA-4663-9B58-44E79B476C79}" name="Tableau2" displayName="Tableau2" ref="A2:AE54" totalsRowShown="0" headerRowDxfId="113" dataDxfId="112">
  <autoFilter ref="A2:AE54" xr:uid="{EF741C02-4FFA-4663-9B58-44E79B476C79}"/>
  <tableColumns count="31">
    <tableColumn id="1" xr3:uid="{DB5B7532-C816-48A9-A9DB-A935FAFB670E}" name="ID référent" dataDxfId="111"/>
    <tableColumn id="2" xr3:uid="{9097DDC1-A6FB-452D-B604-005610967DAB}" name="Nom des projets" dataDxfId="110"/>
    <tableColumn id="3" xr3:uid="{0C80E9E0-09DA-4D40-AD9F-80263B9A8BB2}" name="Puissance EXE" dataDxfId="109"/>
    <tableColumn id="4" xr3:uid="{954C5C9B-9643-4611-BBAA-2F66BD37465B}" name="SPV" dataDxfId="108"/>
    <tableColumn id="5" xr3:uid="{52718979-DF61-43D2-8339-B55356FF0BD9}" name="Latitude" dataDxfId="107"/>
    <tableColumn id="6" xr3:uid="{54B9FFEC-A256-4FF0-809F-2D4C1B28CD61}" name="Longitude" dataDxfId="106"/>
    <tableColumn id="7" xr3:uid="{71F017AA-201C-4028-AA9D-13552A770DCA}" name="Adresse" dataDxfId="105"/>
    <tableColumn id="8" xr3:uid="{8D5B80F3-F2BA-4541-AFCA-7BEAD8ED123F}" name="Dept" dataDxfId="104"/>
    <tableColumn id="9" xr3:uid="{D802DA94-D336-4A8F-8FE6-6778C6239F97}" name="Type de centrale" dataDxfId="103"/>
    <tableColumn id="10" xr3:uid="{B08BA720-5591-4248-828B-F4EB99B26490}" name="Installateur" dataDxfId="102"/>
    <tableColumn id="11" xr3:uid="{65E2986D-2A24-4D19-99C1-DD6046D2F3C2}" name="Date réelle démarrage centrale PV" dataDxfId="101"/>
    <tableColumn id="12" xr3:uid="{78B54A20-00CD-48F4-8950-BE6D33B3AF93}" name="Date réelle fin centrale PV" dataDxfId="100"/>
    <tableColumn id="13" xr3:uid="{F4534952-F971-4896-9B03-50A370AD07B9}" name="Entreprise" dataDxfId="99"/>
    <tableColumn id="14" xr3:uid="{C69AEDB8-C7C6-4AF2-BC41-D92ED1071337}" name="Date de reception réelle des DRE 155/162" dataDxfId="98"/>
    <tableColumn id="15" xr3:uid="{CB6D8E7F-8F7E-4A0A-B23F-22C0CFD67FF3}" name="Date MES" dataDxfId="97"/>
    <tableColumn id="16" xr3:uid="{6EDEDD1F-7EF7-4B88-A4BA-F2CDE2B718D7}" name="SI" dataDxfId="96"/>
    <tableColumn id="17" xr3:uid="{392DC4AF-2ABD-4CEB-9FC4-199625052805}" name="Panneaux" dataDxfId="95"/>
    <tableColumn id="23" xr3:uid="{6B9F0146-F4BA-423B-9DAC-EADCEC47A830}" name="Contact Chargé Exploitation" dataDxfId="94">
      <calculatedColumnFormula>_xlfn.XLOOKUP(Tableau2[[#This Row],[ID référent]],Feuil4!A:A,Feuil4!BD:BD)</calculatedColumnFormula>
    </tableColumn>
    <tableColumn id="25" xr3:uid="{062134AC-372A-4C01-85CC-D5DFBD0464FD}" name="Numéro Chargé d'exploitation" dataDxfId="93">
      <calculatedColumnFormula>IF(Tableau2[[#This Row],[Contact Chargé Exploitation]]="Parfait MEZEME ONA","06 63 06 94 73","06 74 09 71 44")</calculatedColumnFormula>
    </tableColumn>
    <tableColumn id="24" xr3:uid="{BD57B199-B7ED-417A-8C59-EB2885A056C3}" name="Contact Gestion actif" dataDxfId="92"/>
    <tableColumn id="26" xr3:uid="{42720B27-7CA5-43C4-953D-212BF3A5F06A}" name="Numéro Gestion actif" dataDxfId="91">
      <calculatedColumnFormula>IF(Tableau2[[#This Row],[Contact Gestion actif]]="Victor PONTAIS","06 69 21 76 42","06 74 94 09 90")</calculatedColumnFormula>
    </tableColumn>
    <tableColumn id="18" xr3:uid="{5DC0719D-C71A-47E2-9C8A-5E2766A17615}" name="Audit en toiture" dataDxfId="90"/>
    <tableColumn id="19" xr3:uid="{7A0ABC6C-EDE2-48FA-8A5B-D28CCA7B996F}" name="Audit hors toiture" dataDxfId="89"/>
    <tableColumn id="20" xr3:uid="{2F88ABC9-D249-49DA-98CC-DFB9DCD3141F}" name="Sous performance non identifié" dataDxfId="88"/>
    <tableColumn id="21" xr3:uid="{EBBF433B-52EE-43AE-8666-B3000942FADD}" name="Ratio PR réel VS PR théorique OCTOBRE" dataDxfId="87" dataCellStyle="Pourcentage"/>
    <tableColumn id="22" xr3:uid="{E4A951A2-5D9A-4A35-82F7-3A5B571B5BFB}" name="Raison probable"/>
    <tableColumn id="27" xr3:uid="{A0B6F35C-80FD-4F3A-8F57-951D1B6BED68}" name="Date prévisionnelle d'audit" dataDxfId="86"/>
    <tableColumn id="28" xr3:uid="{8E612575-2BB5-4A67-AC74-8B5252538549}" name="Date réelle d'audit" dataDxfId="85"/>
    <tableColumn id="29" xr3:uid="{D7AE59FD-6F76-4839-B0FB-C93F12118730}" name="Présence auto controle" dataDxfId="84"/>
    <tableColumn id="30" xr3:uid="{1EB58EC0-F76D-42E2-ADFF-3DD199DFBFDB}" name="Présence PV réception lot PV" dataDxfId="83"/>
    <tableColumn id="31" xr3:uid="{A7BA6C05-3568-4154-80D1-BA0146BE4DB4}" name="Présence CR visite chantier lot PV" dataDxfId="82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C073B7-2088-4390-AF86-EA6642A8725E}" name="Tableau_query__72" displayName="Tableau_query__72" ref="A1:CD374" tableType="queryTable" totalsRowShown="0">
  <autoFilter ref="A1:CD374" xr:uid="{B5C073B7-2088-4390-AF86-EA6642A8725E}"/>
  <tableColumns count="82">
    <tableColumn id="1" xr3:uid="{CF9CE534-CFBA-4B47-B444-3325E286E070}" uniqueName="IDPipedrive" name="ID Pipedrive" queryTableFieldId="3" dataDxfId="81"/>
    <tableColumn id="2" xr3:uid="{480F4FC8-5D7E-4001-B0D0-9CDD705F8CDF}" uniqueName="Title" name="undefined" queryTableFieldId="1" dataDxfId="80"/>
    <tableColumn id="3" xr3:uid="{BC57F449-8761-4FB1-9BDC-F55621D5F766}" uniqueName="Projet_x005f_x002f_SPV" name="Projet/SPV" queryTableFieldId="2" dataDxfId="79"/>
    <tableColumn id="4" xr3:uid="{0486E05C-35D5-4DB6-90C2-58DA50B76FC6}" uniqueName="DateMiseenService" name="Date Mise en Service" queryTableFieldId="6" dataDxfId="78"/>
    <tableColumn id="5" xr3:uid="{5CC04E5C-2A2E-44FB-A17A-B3BB4E43E8EC}" uniqueName="Adresse" name="Adresse" queryTableFieldId="17" dataDxfId="77"/>
    <tableColumn id="6" xr3:uid="{F917E3EE-5AA7-410A-94CE-8E598B922023}" uniqueName="CodePostale" name="Code Postale" queryTableFieldId="18" dataDxfId="76"/>
    <tableColumn id="7" xr3:uid="{D0A66456-E901-4FFE-8257-8629C7E00115}" uniqueName="Ville" name="Ville" queryTableFieldId="19" dataDxfId="75"/>
    <tableColumn id="8" xr3:uid="{4E7C0E98-B24B-496A-A8A7-AD537C78598D}" uniqueName="TypedeBatiment" name="Contrat de bail" queryTableFieldId="20" dataDxfId="74"/>
    <tableColumn id="9" xr3:uid="{CCCC2B98-1DBD-4CFD-8AAD-2323C9F73148}" uniqueName="Typedelacentrale" name="Type de centrale" queryTableFieldId="44" dataDxfId="73"/>
    <tableColumn id="10" xr3:uid="{D97896B2-FC09-41EA-A1F5-DDE99D67AEB1}" uniqueName="Client" name="Client" queryTableFieldId="21" dataDxfId="72"/>
    <tableColumn id="11" xr3:uid="{DCC3AAB7-210E-44E3-9DB4-F4B733B8DB29}" uniqueName="TypedeContrat" name="Type de Contrat" queryTableFieldId="22" dataDxfId="71"/>
    <tableColumn id="12" xr3:uid="{ADF32D1E-74D5-43CA-A0B3-1A5F27584348}" uniqueName="Num_x005f_x00e9_roBTA" name="Numéro BTA" queryTableFieldId="23" dataDxfId="70"/>
    <tableColumn id="13" xr3:uid="{0C1E6425-28DA-4B16-BA95-251257C0AA72}" uniqueName="Num_x005f_x00e9_roCARD_x005f_x002d_I" name="Numéro CARD-I" queryTableFieldId="4" dataDxfId="69"/>
    <tableColumn id="14" xr3:uid="{EE30CF37-C32D-45D4-B030-E36759F43A86}" uniqueName="NombredePDL" name="Nombre de PDL" queryTableFieldId="50" dataDxfId="68"/>
    <tableColumn id="15" xr3:uid="{CF64E164-A686-4BA5-96A9-BF55585DF0F6}" uniqueName="Num_x005f_x00e9_roPRM" name="Numéro PRM" queryTableFieldId="5" dataDxfId="67"/>
    <tableColumn id="16" xr3:uid="{6EA54AD1-B478-4B33-B115-2833E0C0BB8A}" uniqueName="Puissancecr_x005f_x00ea_te_x005f_x0028_kWc_x" name="Puissance crête (kWc)" queryTableFieldId="7" dataDxfId="66"/>
    <tableColumn id="17" xr3:uid="{29266FA6-87FD-41DC-9F89-1633A0BBA599}" uniqueName="Puissancemaximale_x005f_x0028_kVA_x002" name="Puissance maximale (kVA)" queryTableFieldId="43" dataDxfId="65"/>
    <tableColumn id="18" xr3:uid="{722BCCAD-5CAE-4187-BBB9-E4D93A5BC646}" uniqueName="Puissancesouscrite" name="Puissance souscrite (kVA)" queryTableFieldId="11" dataDxfId="64"/>
    <tableColumn id="19" xr3:uid="{D82E8039-0375-4220-A0D7-013E1DCF6432}" uniqueName="ProductiblekWh_x005f_x002f_kWc" name="Productible P50 kWh/kWc/an" queryTableFieldId="56" dataDxfId="63"/>
    <tableColumn id="20" xr3:uid="{8BFF2B75-1FFB-4B81-BB7C-A51EBAF61F92}" uniqueName="Productible_x005f_x0020_kWh" name="Production P50 kWh/an" queryTableFieldId="57" dataDxfId="62"/>
    <tableColumn id="21" xr3:uid="{1C937A60-1EB0-400F-9E4E-831875A218AB}" uniqueName="ProductibleVariabilit_x005f_x00e9_P50" name="Productible Variabilité P50" queryTableFieldId="58" dataDxfId="61"/>
    <tableColumn id="22" xr3:uid="{222EB0CB-3316-4203-B8D7-DA5216D0E35D}" uniqueName="PRGoconstruction" name="PR Go construction" queryTableFieldId="75" dataDxfId="60"/>
    <tableColumn id="23" xr3:uid="{EDCB5526-C4FE-4F5B-BBE2-36980E3BB304}" uniqueName="ProductibleGoConstructionkWh_x00" name="Productible Go Construction kWh/kWc" queryTableFieldId="76" dataDxfId="59"/>
    <tableColumn id="24" xr3:uid="{CC9A3B77-00C8-411D-B2BB-51B0B6863065}" uniqueName="Domainedetension" name="Domaine de tension" queryTableFieldId="48" dataDxfId="58"/>
    <tableColumn id="25" xr3:uid="{414C7D88-D77C-4123-9C3F-9B5A6951D36E}" uniqueName="DateAchatT0" name="Date Achat T0" queryTableFieldId="55" dataDxfId="57"/>
    <tableColumn id="26" xr3:uid="{107C3D96-F8F5-4BEF-AB6E-4BE609138AFE}" uniqueName="TarifdAchat_x005f_x0028__x005f_x20ac__x005f_x002f_" name="Tarif d'Achat (€/kWh)" queryTableFieldId="8" dataDxfId="56"/>
    <tableColumn id="27" xr3:uid="{97F7490B-48DE-4DF1-BA92-23BFB42B69EC}" uniqueName="ConventionTarifEssais" name="Convention Tarif Essais" queryTableFieldId="80" dataDxfId="55"/>
    <tableColumn id="28" xr3:uid="{217E4DEC-3C71-4555-AE1E-817633C0D9D7}" uniqueName="ContratACC" name="Contrat ACC" queryTableFieldId="70" dataDxfId="54"/>
    <tableColumn id="29" xr3:uid="{D218DB6E-4B87-4A04-9FDC-DD718F6A123A}" uniqueName="Acheteur" name="Acheteur" queryTableFieldId="9" dataDxfId="53"/>
    <tableColumn id="30" xr3:uid="{00E30DF8-D7CA-4C0D-9EF6-B42CD948EF8A}" uniqueName="GRD" name="GRD" queryTableFieldId="10" dataDxfId="52"/>
    <tableColumn id="31" xr3:uid="{AAEE512A-94D5-4E12-A04B-F06A9B1B24EE}" uniqueName="Surface_x005f_x0028_m_x005f_x00b2__x005f_x0029_" name="Surface modules (m²)" queryTableFieldId="12" dataDxfId="51"/>
    <tableColumn id="32" xr3:uid="{1411B36A-DF1D-459A-9964-A2EE0E108528}" uniqueName="Latitude" name="Latitude" queryTableFieldId="15" dataDxfId="50"/>
    <tableColumn id="33" xr3:uid="{71D3EA16-F120-4519-917D-5D5EBB505433}" uniqueName="Longitude" name="Longitude" queryTableFieldId="16" dataDxfId="49"/>
    <tableColumn id="34" xr3:uid="{C27AACFF-3D4D-4ADB-85E6-5689F11DBF33}" uniqueName="Financement" name="Financement" queryTableFieldId="24" dataDxfId="48"/>
    <tableColumn id="35" xr3:uid="{419AD36B-6CB1-4E99-B3C1-A86F57181BD7}" uniqueName="Mentionsparticuli_x005f_x00e8_res" name="Mentions particulières" queryTableFieldId="47" dataDxfId="47"/>
    <tableColumn id="36" xr3:uid="{0B2EBE23-C29D-4B9E-96F0-1F1146258E0D}" uniqueName="P_x005f_x00e9_rimetreMainteneur" name="Mainteneur" queryTableFieldId="25" dataDxfId="46"/>
    <tableColumn id="37" xr3:uid="{E915B17D-D991-4D22-A7BC-E67D9C79F863}" uniqueName="NomcompletduClient" name="Nom complet du Client" queryTableFieldId="26" dataDxfId="45"/>
    <tableColumn id="38" xr3:uid="{15935655-7E47-44FE-8D17-108CD4047309}" uniqueName="Emailprincipalduclient" name="Email principal du client" queryTableFieldId="27" dataDxfId="44"/>
    <tableColumn id="39" xr3:uid="{4FEEE7A3-44BA-4FC5-B8AC-75C0BC15F44F}" uniqueName="Emailsecondaireclient" name="Email secondaire client" queryTableFieldId="28" dataDxfId="43"/>
    <tableColumn id="40" xr3:uid="{019BACDF-9E18-45C4-8845-15D6616FB7BE}" uniqueName="T_x005f_x00e9_l_x005f_x00e9_phoneclient_x0020" name="Téléphone principal client" queryTableFieldId="29" dataDxfId="42"/>
    <tableColumn id="41" xr3:uid="{8B41F48E-3A81-4D47-9AB3-DEA40AAB2098}" uniqueName="T_x005f_x00e9_l_x005f_x00e9_phoneclient_x0021" name="Téléphone secondaire client" queryTableFieldId="30" dataDxfId="41"/>
    <tableColumn id="42" xr3:uid="{711CA401-8B89-472F-BDC1-AB9C6DF12CBD}" uniqueName="Installateur_x005f_x00e9_lectrique" name="Installateur électrique" queryTableFieldId="13" dataDxfId="40"/>
    <tableColumn id="43" xr3:uid="{44CDA1A8-8C3A-4684-AF33-05F2D17E2343}" uniqueName="Installateurstructure" name="Installateur structure" queryTableFieldId="14" dataDxfId="39"/>
    <tableColumn id="44" xr3:uid="{C842DC3A-EFC7-4A8A-B984-12E58A39CCDA}" uniqueName="Loyer" name="Loyer" queryTableFieldId="31" dataDxfId="38"/>
    <tableColumn id="45" xr3:uid="{31816A10-0A06-457A-AEF2-89C98E5E3726}" uniqueName="_x005f_x00c9_ch_x005f_x00e9_ance" name="Échéance" queryTableFieldId="32" dataDxfId="37"/>
    <tableColumn id="46" xr3:uid="{41BA2EDC-4799-452B-A29A-FB7198AF66BB}" uniqueName="Ech_x005f_x00e9_ance_x005f_x0020_Ann_x005f_x00e9_e" name="Echéance Année en cours" queryTableFieldId="33" dataDxfId="36"/>
    <tableColumn id="47" xr3:uid="{594F1388-501F-43D3-9AD1-1681256BA76E}" uniqueName="TypedeLoyer" name="Type de Loyer" queryTableFieldId="34" dataDxfId="35"/>
    <tableColumn id="48" xr3:uid="{C9B21CA1-CDD5-457F-8E35-7AA1F72FF4E5}" uniqueName="TVAApplicable" name="TVA Applicable" queryTableFieldId="35" dataDxfId="34"/>
    <tableColumn id="49" xr3:uid="{FEF8B3FF-D3F0-4BD4-9565-B54A9F93BE1D}" uniqueName="_x005f_x0025_duCA" name="% du CA" queryTableFieldId="36" dataDxfId="33"/>
    <tableColumn id="50" xr3:uid="{844C84B6-16A9-497A-88A5-51A44D14D94A}" uniqueName="MontantduLoyerfixe" name="Montant du Loyer fixe" queryTableFieldId="37" dataDxfId="32"/>
    <tableColumn id="51" xr3:uid="{86899C37-8E87-4AFC-867A-DAC298321CC0}" uniqueName="Fr_x005f_x00e9_quence" name="Fréquence" queryTableFieldId="42" dataDxfId="31"/>
    <tableColumn id="52" xr3:uid="{2376FA87-A8B5-4262-AC3A-8FFCD89A79F4}" uniqueName="Loyer21ans" name="Loyer &gt;20ans" queryTableFieldId="38" dataDxfId="30"/>
    <tableColumn id="53" xr3:uid="{467B3364-FAC6-4461-B677-A10A5FB7F4F7}" uniqueName="TypedeLoyerPost20ans" name="Type de Loyer Post 20ans" queryTableFieldId="40" dataDxfId="29"/>
    <tableColumn id="54" xr3:uid="{FADE8B78-12DC-4A34-A572-CA58165B760F}" uniqueName="_x005f_x0025_DuCAPost20ans" name="% Du CA Post 20ans" queryTableFieldId="41" dataDxfId="28"/>
    <tableColumn id="55" xr3:uid="{21393540-E8A7-452F-ABF8-82F1A6C5C04A}" uniqueName="MontantduLoyerfixe_x005f_x0028_20ans_x" name="Montant du Loyer fixe (&gt;20ans)" queryTableFieldId="39" dataDxfId="27"/>
    <tableColumn id="56" xr3:uid="{FA8423AF-ACE4-40F2-AB50-D7522704523B}" uniqueName="Charg_x005f_x00e9_dExploitation" name="Chargé d'Exploitation" queryTableFieldId="45" dataDxfId="26"/>
    <tableColumn id="57" xr3:uid="{C5132FB1-09B2-4CA4-9905-E275DBC1E2B3}" uniqueName="GestionnairedActif" name="Gestionnaire d'Actif" queryTableFieldId="46" dataDxfId="25"/>
    <tableColumn id="58" xr3:uid="{A58FABAF-A109-494F-B1D6-D9E179D60E3F}" uniqueName="Charg_x005f_x00e9_deProjet" name="Chef de Projet" queryTableFieldId="49" dataDxfId="24"/>
    <tableColumn id="59" xr3:uid="{4EA84D36-AA10-45DB-B8DC-381375F57275}" uniqueName="Charg_x005f_x00e9_daffaire" name="Chargé d'affaire" queryTableFieldId="71" dataDxfId="23"/>
    <tableColumn id="60" xr3:uid="{93399527-88C3-4B13-AD14-8CCA9503DC28}" uniqueName="ReferenceContratMaintenance" name="Reference Contrat Maintenance" queryTableFieldId="51" dataDxfId="22"/>
    <tableColumn id="61" xr3:uid="{AD494F2E-72CD-4C11-BACB-42AE7F575D0F}" uniqueName="ReferenceContratDeveloppement" name="Reference Contrat Developpement" queryTableFieldId="52" dataDxfId="21"/>
    <tableColumn id="62" xr3:uid="{C0AE8B18-E4BC-4376-998F-07EDDD071AD8}" uniqueName="ReferenceContratOM" name="Reference Contrat O&amp;M" queryTableFieldId="53" dataDxfId="20"/>
    <tableColumn id="63" xr3:uid="{23F88DFF-2F23-459C-851A-7B9E2F897A97}" uniqueName="RefacturationGirasoleServices" name="Refacturation Girasole Services" queryTableFieldId="54" dataDxfId="19"/>
    <tableColumn id="64" xr3:uid="{9443C90A-7054-4141-83E0-15787FF1A57B}" uniqueName="Refacturation_x005f_x0020_T_x005f_x00e9_l_x0" name="Refacturation Télésurveillance F2" queryTableFieldId="59" dataDxfId="18"/>
    <tableColumn id="65" xr3:uid="{9EFA6EF3-1C7C-4489-9BF0-9A65036FD6B4}" uniqueName="DateD_x005f_x00e9_butExploitation" name="Date Début Exploitation" queryTableFieldId="67" dataDxfId="17"/>
    <tableColumn id="66" xr3:uid="{2AD6E852-E76D-40F1-B54D-C89B5CBBD024}" uniqueName="Date_x005f_x0020_PV_x005f_x0020_Transfert_x0" name="Date PV Transfert en Exploitation signé" queryTableFieldId="60" dataDxfId="16"/>
    <tableColumn id="67" xr3:uid="{D290ED24-3224-4EF3-B037-55827F8C0B10}" uniqueName="Date_x005f_x0020_PV_x005f_x0020_de_x005f_x0020_fin" name="Date PV de fin de garantie de performance signé" queryTableFieldId="61" dataDxfId="15"/>
    <tableColumn id="68" xr3:uid="{6044F338-B71C-48EA-9225-C961C463A719}" uniqueName="MontantP_x005f_x00e9_nalit_x005f_x00e9_sEPC1" name="Montant Pénalités EPC 1an" queryTableFieldId="77" dataDxfId="14"/>
    <tableColumn id="69" xr3:uid="{883585F0-6683-4A7A-B7BF-1CFF86F5DA22}" uniqueName="MontantP_x005f_x00e9_nalit_x005f_x00e9_sReta" name="Montant Pénalités Retard Contrat d'achat" queryTableFieldId="78" dataDxfId="13"/>
    <tableColumn id="70" xr3:uid="{D2ED6CFF-0238-4A0F-A7E1-9DDF63272530}" uniqueName="TitulaireduBail" name="Titulaire du Bail" queryTableFieldId="62" dataDxfId="12"/>
    <tableColumn id="71" xr3:uid="{2A741539-DAEA-46E9-83A5-79A1DFCD687F}" uniqueName="AdresseTitulaireduBail" name="Adresse Titulaire du Bail" queryTableFieldId="64" dataDxfId="11"/>
    <tableColumn id="72" xr3:uid="{EAC0160A-8BBC-44DD-91CC-802279707179}" uniqueName="VilleTitulaireduBail" name="Ville Titulaire du Bail" queryTableFieldId="65" dataDxfId="10"/>
    <tableColumn id="73" xr3:uid="{3813C01F-F185-472B-82C6-09F1A15E41AB}" uniqueName="CodePostaleTitulaireduBail" name="Code Postale Titulaire du Bail" queryTableFieldId="66" dataDxfId="9"/>
    <tableColumn id="74" xr3:uid="{24E47A75-83D7-42A6-8751-88FC7F2A585B}" uniqueName="SIREN_x005f_x0028_siapplicable_x005f_x0029_" name="SIREN (si applicable)" queryTableFieldId="69" dataDxfId="8"/>
    <tableColumn id="75" xr3:uid="{565BE525-F689-4662-8EAD-5190AB7C6443}" uniqueName="DatefinduBail" name="Date fin du Bail" queryTableFieldId="79" dataDxfId="7"/>
    <tableColumn id="76" xr3:uid="{761CB5B9-78A4-4CDD-8B7C-E606484362EE}" uniqueName="Activit_x005f_x00e9_soustoiture" name="Activité sous toiture" queryTableFieldId="63" dataDxfId="6"/>
    <tableColumn id="77" xr3:uid="{DF1E8915-B6E9-4587-B3B3-98442F879337}" uniqueName="DateD_x005f_x00e9_butContratdAchatOA" name="Date Début Contrat d'Achat OA" queryTableFieldId="73" dataDxfId="5"/>
    <tableColumn id="78" xr3:uid="{62E1E534-4513-4600-9593-8CB0F69B4360}" uniqueName="DatefinduContratdAchatOA" name="Date fin du Contrat d'Achat OA" queryTableFieldId="74" dataDxfId="4"/>
    <tableColumn id="79" xr3:uid="{B3AFDE7D-EF34-41C5-9C53-23CE78F0254E}" uniqueName="DatesignatureContratDachatOA" name="Date signature Contrat D'achat OA" queryTableFieldId="72" dataDxfId="3"/>
    <tableColumn id="80" xr3:uid="{91EBF8A4-5E53-4161-86DF-2891234EB702}" uniqueName="IndexationduLoyer" name="Indexation du Loyer" queryTableFieldId="68" dataDxfId="2"/>
    <tableColumn id="81" xr3:uid="{5BCE281F-3703-4254-BF78-7DD4B0DC39AC}" uniqueName="FSObjType" name="Type d'élément" queryTableFieldId="82" dataDxfId="1"/>
    <tableColumn id="82" xr3:uid="{9BEA837C-C23F-48A5-96AB-B7692973AB81}" uniqueName="FileDirRef" name="Chemin d'accès" queryTableFieldId="8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9EB8-D7AA-42A4-ABCA-34AC44BE7C7B}">
  <dimension ref="A1:AE88"/>
  <sheetViews>
    <sheetView tabSelected="1" zoomScale="70" zoomScaleNormal="70" workbookViewId="0">
      <pane xSplit="4" ySplit="2" topLeftCell="Y3" activePane="bottomRight" state="frozen"/>
      <selection pane="bottomRight" activeCell="AC60" sqref="AC60"/>
      <selection pane="bottomLeft" activeCell="A3" sqref="A3"/>
      <selection pane="topRight" activeCell="E1" sqref="E1"/>
    </sheetView>
  </sheetViews>
  <sheetFormatPr defaultColWidth="11.42578125" defaultRowHeight="14.45"/>
  <cols>
    <col min="1" max="1" width="14.42578125" style="2" customWidth="1"/>
    <col min="2" max="2" width="44.140625" bestFit="1" customWidth="1"/>
    <col min="3" max="3" width="19.28515625" customWidth="1"/>
    <col min="4" max="4" width="20.42578125" bestFit="1" customWidth="1"/>
    <col min="5" max="5" width="15.28515625" bestFit="1" customWidth="1"/>
    <col min="6" max="6" width="18.42578125" bestFit="1" customWidth="1"/>
    <col min="7" max="7" width="59" customWidth="1"/>
    <col min="8" max="8" width="15.85546875" style="3" customWidth="1"/>
    <col min="9" max="9" width="26" bestFit="1" customWidth="1"/>
    <col min="10" max="10" width="15.140625" customWidth="1"/>
    <col min="11" max="11" width="40.140625" customWidth="1"/>
    <col min="12" max="12" width="31.42578125" customWidth="1"/>
    <col min="13" max="13" width="26.7109375" bestFit="1" customWidth="1"/>
    <col min="14" max="14" width="47.42578125" customWidth="1"/>
    <col min="15" max="15" width="19.85546875" bestFit="1" customWidth="1"/>
    <col min="16" max="16" width="32.5703125" bestFit="1" customWidth="1"/>
    <col min="17" max="17" width="44.140625" bestFit="1" customWidth="1"/>
    <col min="18" max="18" width="27.85546875" customWidth="1"/>
    <col min="19" max="21" width="24.5703125" customWidth="1"/>
    <col min="22" max="22" width="24.5703125" bestFit="1" customWidth="1"/>
    <col min="23" max="23" width="26.85546875" bestFit="1" customWidth="1"/>
    <col min="24" max="24" width="36.85546875" customWidth="1"/>
    <col min="25" max="25" width="25.140625" style="19" customWidth="1"/>
    <col min="26" max="26" width="36.7109375" bestFit="1" customWidth="1"/>
    <col min="27" max="27" width="19.85546875" customWidth="1"/>
    <col min="28" max="28" width="13.7109375" customWidth="1"/>
    <col min="29" max="29" width="24.42578125" customWidth="1"/>
    <col min="30" max="30" width="22.85546875" customWidth="1"/>
    <col min="31" max="31" width="25.42578125" customWidth="1"/>
  </cols>
  <sheetData>
    <row r="1" spans="1:31" s="3" customForma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 t="s">
        <v>1</v>
      </c>
      <c r="K1" s="34"/>
      <c r="L1" s="34"/>
      <c r="M1" s="34" t="s">
        <v>2</v>
      </c>
      <c r="N1" s="34"/>
      <c r="O1" s="7" t="s">
        <v>3</v>
      </c>
      <c r="P1" s="34" t="s">
        <v>4</v>
      </c>
      <c r="Q1" s="34"/>
      <c r="R1" s="24" t="s">
        <v>5</v>
      </c>
      <c r="S1" s="24"/>
      <c r="T1" s="24"/>
      <c r="U1" s="24"/>
      <c r="V1" s="34" t="s">
        <v>6</v>
      </c>
      <c r="W1" s="34"/>
      <c r="X1" s="7" t="s">
        <v>7</v>
      </c>
      <c r="Y1" s="19"/>
    </row>
    <row r="2" spans="1:31" ht="29.1">
      <c r="A2" s="21" t="s">
        <v>8</v>
      </c>
      <c r="B2" s="22" t="s">
        <v>9</v>
      </c>
      <c r="C2" s="22" t="s">
        <v>10</v>
      </c>
      <c r="D2" s="22" t="s">
        <v>11</v>
      </c>
      <c r="E2" s="22" t="s">
        <v>12</v>
      </c>
      <c r="F2" s="22" t="s">
        <v>13</v>
      </c>
      <c r="G2" s="22" t="s">
        <v>14</v>
      </c>
      <c r="H2" s="22" t="s">
        <v>15</v>
      </c>
      <c r="I2" s="22" t="s">
        <v>16</v>
      </c>
      <c r="J2" s="22" t="s">
        <v>17</v>
      </c>
      <c r="K2" s="22" t="s">
        <v>18</v>
      </c>
      <c r="L2" s="22" t="s">
        <v>19</v>
      </c>
      <c r="M2" s="22" t="s">
        <v>20</v>
      </c>
      <c r="N2" s="22" t="s">
        <v>21</v>
      </c>
      <c r="O2" s="22" t="s">
        <v>22</v>
      </c>
      <c r="P2" s="22" t="s">
        <v>23</v>
      </c>
      <c r="Q2" s="22" t="s">
        <v>24</v>
      </c>
      <c r="R2" s="25" t="s">
        <v>25</v>
      </c>
      <c r="S2" s="25" t="s">
        <v>26</v>
      </c>
      <c r="T2" s="22" t="s">
        <v>27</v>
      </c>
      <c r="U2" s="22" t="s">
        <v>28</v>
      </c>
      <c r="V2" s="22" t="s">
        <v>29</v>
      </c>
      <c r="W2" s="22" t="s">
        <v>30</v>
      </c>
      <c r="X2" s="22" t="s">
        <v>31</v>
      </c>
      <c r="Y2" s="23" t="s">
        <v>32</v>
      </c>
      <c r="Z2" s="22" t="s">
        <v>33</v>
      </c>
      <c r="AA2" s="25" t="s">
        <v>34</v>
      </c>
      <c r="AB2" s="25" t="s">
        <v>35</v>
      </c>
      <c r="AC2" s="25" t="s">
        <v>36</v>
      </c>
      <c r="AD2" s="25" t="s">
        <v>37</v>
      </c>
      <c r="AE2" s="25" t="s">
        <v>38</v>
      </c>
    </row>
    <row r="3" spans="1:31">
      <c r="A3" s="17">
        <v>31971</v>
      </c>
      <c r="B3" s="4" t="s">
        <v>39</v>
      </c>
      <c r="C3" s="4">
        <v>269.45</v>
      </c>
      <c r="D3" s="4" t="s">
        <v>40</v>
      </c>
      <c r="E3" s="4">
        <v>43.365400000000001</v>
      </c>
      <c r="F3" s="4">
        <v>3.2528999999999999</v>
      </c>
      <c r="G3" s="4" t="s">
        <v>41</v>
      </c>
      <c r="H3" s="6">
        <v>34</v>
      </c>
      <c r="I3" s="4" t="s">
        <v>42</v>
      </c>
      <c r="J3" s="4" t="s">
        <v>43</v>
      </c>
      <c r="K3" s="5">
        <v>45588</v>
      </c>
      <c r="L3" s="5">
        <v>45688</v>
      </c>
      <c r="M3" s="4" t="s">
        <v>44</v>
      </c>
      <c r="N3" s="5">
        <v>45713</v>
      </c>
      <c r="O3" s="5">
        <v>45744</v>
      </c>
      <c r="P3" s="4" t="s">
        <v>45</v>
      </c>
      <c r="Q3" s="4" t="s">
        <v>46</v>
      </c>
      <c r="R3" s="4" t="str">
        <f>_xlfn.XLOOKUP(Tableau2[[#This Row],[ID référent]],Feuil4!A:A,Feuil4!BD:BD)</f>
        <v>Parfait MEZEME ONA</v>
      </c>
      <c r="S3" s="4" t="str">
        <f>IF(Tableau2[[#This Row],[Contact Chargé Exploitation]]="Parfait MEZEME ONA","06 63 06 94 73","06 74 09 71 44")</f>
        <v>06 63 06 94 73</v>
      </c>
      <c r="T3" s="4" t="s">
        <v>47</v>
      </c>
      <c r="U3" s="4" t="str">
        <f>IF(Tableau2[[#This Row],[Contact Gestion actif]]="Victor PONTAIS","06 69 21 76 42","06 74 94 09 90")</f>
        <v>06 74 94 09 90</v>
      </c>
      <c r="V3" s="6"/>
      <c r="W3" s="6" t="s">
        <v>48</v>
      </c>
      <c r="X3" s="6"/>
      <c r="Y3" s="19">
        <v>1.0043709367473506</v>
      </c>
      <c r="AA3" s="31"/>
      <c r="AB3" s="31"/>
      <c r="AC3" s="3" t="s">
        <v>49</v>
      </c>
      <c r="AD3" s="3" t="s">
        <v>49</v>
      </c>
      <c r="AE3" s="3" t="s">
        <v>49</v>
      </c>
    </row>
    <row r="4" spans="1:31">
      <c r="A4" s="17">
        <v>89219</v>
      </c>
      <c r="B4" s="4" t="s">
        <v>50</v>
      </c>
      <c r="C4" s="4">
        <v>309.39999999999998</v>
      </c>
      <c r="D4" s="4" t="s">
        <v>51</v>
      </c>
      <c r="E4" s="4">
        <v>46.249189999999999</v>
      </c>
      <c r="F4" s="4">
        <v>3.88361</v>
      </c>
      <c r="G4" s="4" t="s">
        <v>52</v>
      </c>
      <c r="H4" s="6">
        <v>42</v>
      </c>
      <c r="I4" s="4" t="s">
        <v>53</v>
      </c>
      <c r="J4" s="4" t="s">
        <v>54</v>
      </c>
      <c r="K4" s="5">
        <v>45638</v>
      </c>
      <c r="L4" s="5">
        <v>45699</v>
      </c>
      <c r="M4" s="4" t="s">
        <v>44</v>
      </c>
      <c r="N4" s="5">
        <v>45699</v>
      </c>
      <c r="O4" s="5">
        <v>45748</v>
      </c>
      <c r="P4" s="4" t="s">
        <v>55</v>
      </c>
      <c r="Q4" s="4" t="s">
        <v>56</v>
      </c>
      <c r="R4" s="4" t="str">
        <f>_xlfn.XLOOKUP(Tableau2[[#This Row],[ID référent]],Feuil4!A:A,Feuil4!BD:BD)</f>
        <v>Yasser BADREZZAMANE</v>
      </c>
      <c r="S4" s="4" t="str">
        <f>IF(Tableau2[[#This Row],[Contact Chargé Exploitation]]="Parfait MEZEME ONA","06 63 06 94 73","06 74 09 71 44")</f>
        <v>06 74 09 71 44</v>
      </c>
      <c r="T4" s="4" t="s">
        <v>47</v>
      </c>
      <c r="U4" s="4" t="str">
        <f>IF(Tableau2[[#This Row],[Contact Gestion actif]]="Victor PONTAIS","06 69 21 76 42","06 74 94 09 90")</f>
        <v>06 74 94 09 90</v>
      </c>
      <c r="V4" s="6" t="s">
        <v>48</v>
      </c>
      <c r="W4" s="6" t="s">
        <v>48</v>
      </c>
      <c r="X4" s="6"/>
      <c r="Y4" s="19">
        <v>0.99454308336370922</v>
      </c>
      <c r="AA4" s="32"/>
      <c r="AB4" s="32"/>
      <c r="AC4" s="3" t="s">
        <v>57</v>
      </c>
      <c r="AD4" s="3" t="s">
        <v>57</v>
      </c>
      <c r="AE4" s="3" t="s">
        <v>49</v>
      </c>
    </row>
    <row r="5" spans="1:31">
      <c r="A5" s="17">
        <v>83705</v>
      </c>
      <c r="B5" s="4" t="s">
        <v>58</v>
      </c>
      <c r="C5" s="4">
        <v>319</v>
      </c>
      <c r="D5" s="4" t="s">
        <v>59</v>
      </c>
      <c r="E5" s="4">
        <v>44.257860000000001</v>
      </c>
      <c r="F5" s="4">
        <v>2.4578700000000002</v>
      </c>
      <c r="G5" s="4" t="s">
        <v>60</v>
      </c>
      <c r="H5" s="6">
        <v>12</v>
      </c>
      <c r="I5" s="4" t="s">
        <v>53</v>
      </c>
      <c r="J5" s="4" t="s">
        <v>54</v>
      </c>
      <c r="K5" s="5">
        <v>45705</v>
      </c>
      <c r="L5" s="5">
        <v>45737</v>
      </c>
      <c r="M5" s="4" t="s">
        <v>61</v>
      </c>
      <c r="N5" s="5">
        <v>45754</v>
      </c>
      <c r="O5" s="5">
        <v>45783</v>
      </c>
      <c r="P5" s="4" t="s">
        <v>62</v>
      </c>
      <c r="Q5" s="4" t="s">
        <v>63</v>
      </c>
      <c r="R5" s="4" t="str">
        <f>_xlfn.XLOOKUP(Tableau2[[#This Row],[ID référent]],Feuil4!A:A,Feuil4!BD:BD)</f>
        <v>Parfait MEZEME ONA</v>
      </c>
      <c r="S5" s="4" t="str">
        <f>IF(Tableau2[[#This Row],[Contact Chargé Exploitation]]="Parfait MEZEME ONA","06 63 06 94 73","06 74 09 71 44")</f>
        <v>06 63 06 94 73</v>
      </c>
      <c r="T5" s="4" t="s">
        <v>47</v>
      </c>
      <c r="U5" s="4" t="str">
        <f>IF(Tableau2[[#This Row],[Contact Gestion actif]]="Victor PONTAIS","06 69 21 76 42","06 74 94 09 90")</f>
        <v>06 74 94 09 90</v>
      </c>
      <c r="V5" s="6"/>
      <c r="W5" s="6" t="s">
        <v>48</v>
      </c>
      <c r="X5" s="6"/>
      <c r="Y5" s="19">
        <v>0.97390725086264973</v>
      </c>
      <c r="AA5" s="32"/>
      <c r="AB5" s="32"/>
      <c r="AC5" s="3" t="s">
        <v>57</v>
      </c>
      <c r="AD5" s="3" t="s">
        <v>57</v>
      </c>
      <c r="AE5" s="3" t="s">
        <v>49</v>
      </c>
    </row>
    <row r="6" spans="1:31">
      <c r="A6" s="17">
        <v>17996</v>
      </c>
      <c r="B6" s="4" t="s">
        <v>64</v>
      </c>
      <c r="C6" s="4">
        <v>256.05500000000001</v>
      </c>
      <c r="D6" s="4" t="s">
        <v>65</v>
      </c>
      <c r="E6" s="4">
        <v>45.535339999999998</v>
      </c>
      <c r="F6" s="4">
        <v>5.4522899999999996</v>
      </c>
      <c r="G6" s="4" t="s">
        <v>66</v>
      </c>
      <c r="H6" s="6">
        <v>38</v>
      </c>
      <c r="I6" s="4" t="s">
        <v>67</v>
      </c>
      <c r="J6" s="4" t="s">
        <v>68</v>
      </c>
      <c r="K6" s="5">
        <v>45404</v>
      </c>
      <c r="L6" s="5">
        <v>45506</v>
      </c>
      <c r="M6" s="4" t="s">
        <v>44</v>
      </c>
      <c r="N6" s="5">
        <v>45496</v>
      </c>
      <c r="O6" s="5">
        <v>45567</v>
      </c>
      <c r="P6" s="4" t="s">
        <v>69</v>
      </c>
      <c r="Q6" s="4" t="s">
        <v>70</v>
      </c>
      <c r="R6" s="4" t="str">
        <f>_xlfn.XLOOKUP(Tableau2[[#This Row],[ID référent]],Feuil4!A:A,Feuil4!BD:BD)</f>
        <v>Yasser BADREZZAMANE</v>
      </c>
      <c r="S6" s="4" t="str">
        <f>IF(Tableau2[[#This Row],[Contact Chargé Exploitation]]="Parfait MEZEME ONA","06 63 06 94 73","06 74 09 71 44")</f>
        <v>06 74 09 71 44</v>
      </c>
      <c r="T6" s="4" t="s">
        <v>47</v>
      </c>
      <c r="U6" s="4" t="str">
        <f>IF(Tableau2[[#This Row],[Contact Gestion actif]]="Victor PONTAIS","06 69 21 76 42","06 74 94 09 90")</f>
        <v>06 74 94 09 90</v>
      </c>
      <c r="V6" s="6"/>
      <c r="W6" s="6" t="s">
        <v>48</v>
      </c>
      <c r="X6" s="6"/>
      <c r="Y6" s="19">
        <v>0.90032450535253494</v>
      </c>
      <c r="AA6" s="32"/>
      <c r="AB6" s="32"/>
      <c r="AC6" s="3" t="s">
        <v>57</v>
      </c>
      <c r="AD6" s="3" t="s">
        <v>57</v>
      </c>
      <c r="AE6" s="3" t="s">
        <v>49</v>
      </c>
    </row>
    <row r="7" spans="1:31">
      <c r="A7" s="17">
        <v>17966</v>
      </c>
      <c r="B7" s="4" t="s">
        <v>71</v>
      </c>
      <c r="C7" s="4">
        <v>123.41</v>
      </c>
      <c r="D7" s="4" t="s">
        <v>40</v>
      </c>
      <c r="E7" s="4">
        <v>44.927660000000003</v>
      </c>
      <c r="F7" s="4">
        <v>2.9903599999999999</v>
      </c>
      <c r="G7" s="4" t="s">
        <v>72</v>
      </c>
      <c r="H7" s="6">
        <v>15</v>
      </c>
      <c r="I7" s="4" t="s">
        <v>67</v>
      </c>
      <c r="J7" s="4" t="s">
        <v>73</v>
      </c>
      <c r="K7" s="5">
        <v>45441</v>
      </c>
      <c r="L7" s="5">
        <v>45469</v>
      </c>
      <c r="M7" s="4" t="s">
        <v>44</v>
      </c>
      <c r="N7" s="5">
        <v>45531</v>
      </c>
      <c r="O7" s="5">
        <v>45587</v>
      </c>
      <c r="P7" s="4" t="s">
        <v>74</v>
      </c>
      <c r="Q7" s="4" t="s">
        <v>75</v>
      </c>
      <c r="R7" s="4" t="str">
        <f>_xlfn.XLOOKUP(Tableau2[[#This Row],[ID référent]],Feuil4!A:A,Feuil4!BD:BD)</f>
        <v>Parfait MEZEME ONA</v>
      </c>
      <c r="S7" s="4" t="str">
        <f>IF(Tableau2[[#This Row],[Contact Chargé Exploitation]]="Parfait MEZEME ONA","06 63 06 94 73","06 74 09 71 44")</f>
        <v>06 63 06 94 73</v>
      </c>
      <c r="T7" s="4" t="s">
        <v>47</v>
      </c>
      <c r="U7" s="4" t="str">
        <f>IF(Tableau2[[#This Row],[Contact Gestion actif]]="Victor PONTAIS","06 69 21 76 42","06 74 94 09 90")</f>
        <v>06 74 94 09 90</v>
      </c>
      <c r="V7" s="6"/>
      <c r="W7" s="6" t="s">
        <v>48</v>
      </c>
      <c r="X7" s="6"/>
      <c r="Y7" s="19">
        <v>0.67177710754664777</v>
      </c>
      <c r="Z7" t="s">
        <v>76</v>
      </c>
      <c r="AA7" s="32"/>
      <c r="AB7" s="32"/>
      <c r="AC7" s="3" t="s">
        <v>57</v>
      </c>
      <c r="AD7" s="3" t="s">
        <v>49</v>
      </c>
      <c r="AE7" s="3" t="s">
        <v>49</v>
      </c>
    </row>
    <row r="8" spans="1:31">
      <c r="A8" s="17">
        <v>70087</v>
      </c>
      <c r="B8" s="4" t="s">
        <v>77</v>
      </c>
      <c r="C8" s="4">
        <v>300.82</v>
      </c>
      <c r="D8" s="4" t="s">
        <v>40</v>
      </c>
      <c r="E8" s="4">
        <v>44.757550000000002</v>
      </c>
      <c r="F8" s="4">
        <v>2.0449600000000001</v>
      </c>
      <c r="G8" s="4" t="s">
        <v>78</v>
      </c>
      <c r="H8" s="6">
        <v>46</v>
      </c>
      <c r="I8" s="4" t="s">
        <v>79</v>
      </c>
      <c r="J8" s="4" t="s">
        <v>80</v>
      </c>
      <c r="K8" s="5">
        <v>45537</v>
      </c>
      <c r="L8" s="5">
        <v>45569</v>
      </c>
      <c r="M8" s="4" t="s">
        <v>44</v>
      </c>
      <c r="N8" s="5">
        <v>45586</v>
      </c>
      <c r="O8" s="5">
        <v>45609</v>
      </c>
      <c r="P8" s="4" t="s">
        <v>62</v>
      </c>
      <c r="Q8" s="4" t="s">
        <v>81</v>
      </c>
      <c r="R8" s="4" t="str">
        <f>_xlfn.XLOOKUP(Tableau2[[#This Row],[ID référent]],Feuil4!A:A,Feuil4!BD:BD)</f>
        <v>Parfait MEZEME ONA</v>
      </c>
      <c r="S8" s="4" t="str">
        <f>IF(Tableau2[[#This Row],[Contact Chargé Exploitation]]="Parfait MEZEME ONA","06 63 06 94 73","06 74 09 71 44")</f>
        <v>06 63 06 94 73</v>
      </c>
      <c r="T8" s="4" t="s">
        <v>47</v>
      </c>
      <c r="U8" s="4" t="str">
        <f>IF(Tableau2[[#This Row],[Contact Gestion actif]]="Victor PONTAIS","06 69 21 76 42","06 74 94 09 90")</f>
        <v>06 74 94 09 90</v>
      </c>
      <c r="V8" s="6" t="s">
        <v>48</v>
      </c>
      <c r="W8" s="6" t="s">
        <v>48</v>
      </c>
      <c r="X8" s="6"/>
      <c r="Y8" s="19">
        <v>1.021686503066118</v>
      </c>
      <c r="AA8" s="32"/>
      <c r="AB8" s="32"/>
      <c r="AC8" s="3" t="s">
        <v>57</v>
      </c>
      <c r="AD8" s="3" t="s">
        <v>57</v>
      </c>
      <c r="AE8" s="3" t="s">
        <v>49</v>
      </c>
    </row>
    <row r="9" spans="1:31">
      <c r="A9" s="17">
        <v>30489</v>
      </c>
      <c r="B9" s="4" t="s">
        <v>82</v>
      </c>
      <c r="C9" s="4">
        <v>222.5</v>
      </c>
      <c r="D9" s="4" t="s">
        <v>83</v>
      </c>
      <c r="E9" s="4">
        <v>44.384259999999998</v>
      </c>
      <c r="F9" s="4">
        <v>1.1673800000000001</v>
      </c>
      <c r="G9" s="4" t="s">
        <v>84</v>
      </c>
      <c r="H9" s="6">
        <v>46</v>
      </c>
      <c r="I9" s="4" t="s">
        <v>53</v>
      </c>
      <c r="J9" s="4" t="s">
        <v>80</v>
      </c>
      <c r="K9" s="5">
        <v>45439</v>
      </c>
      <c r="L9" s="5">
        <v>45546</v>
      </c>
      <c r="M9" s="4" t="s">
        <v>44</v>
      </c>
      <c r="N9" s="5">
        <v>45560</v>
      </c>
      <c r="O9" s="5">
        <v>45611</v>
      </c>
      <c r="P9" s="4" t="s">
        <v>62</v>
      </c>
      <c r="Q9" s="4" t="s">
        <v>85</v>
      </c>
      <c r="R9" s="4" t="str">
        <f>_xlfn.XLOOKUP(Tableau2[[#This Row],[ID référent]],Feuil4!A:A,Feuil4!BD:BD)</f>
        <v>Parfait MEZEME ONA</v>
      </c>
      <c r="S9" s="4" t="str">
        <f>IF(Tableau2[[#This Row],[Contact Chargé Exploitation]]="Parfait MEZEME ONA","06 63 06 94 73","06 74 09 71 44")</f>
        <v>06 63 06 94 73</v>
      </c>
      <c r="T9" s="4" t="s">
        <v>86</v>
      </c>
      <c r="U9" s="4" t="str">
        <f>IF(Tableau2[[#This Row],[Contact Gestion actif]]="Victor PONTAIS","06 69 21 76 42","06 74 94 09 90")</f>
        <v>06 69 21 76 42</v>
      </c>
      <c r="V9" s="6"/>
      <c r="W9" s="6" t="s">
        <v>48</v>
      </c>
      <c r="X9" s="6"/>
      <c r="Y9" s="19">
        <v>0.92857859865812908</v>
      </c>
      <c r="AA9" s="32"/>
      <c r="AB9" s="32"/>
      <c r="AC9" s="3" t="s">
        <v>57</v>
      </c>
      <c r="AD9" s="3" t="s">
        <v>57</v>
      </c>
      <c r="AE9" s="3" t="s">
        <v>49</v>
      </c>
    </row>
    <row r="10" spans="1:31">
      <c r="A10" s="17">
        <v>58962</v>
      </c>
      <c r="B10" s="4" t="s">
        <v>87</v>
      </c>
      <c r="C10" s="4">
        <v>324.22000000000003</v>
      </c>
      <c r="D10" s="4" t="s">
        <v>40</v>
      </c>
      <c r="E10" s="4">
        <v>45.744700000000002</v>
      </c>
      <c r="F10" s="4">
        <v>-0.92605000000000004</v>
      </c>
      <c r="G10" s="4" t="s">
        <v>88</v>
      </c>
      <c r="H10" s="6">
        <v>17</v>
      </c>
      <c r="I10" s="4" t="s">
        <v>53</v>
      </c>
      <c r="J10" s="4" t="s">
        <v>89</v>
      </c>
      <c r="K10" s="5">
        <v>45404</v>
      </c>
      <c r="L10" s="5">
        <v>45422</v>
      </c>
      <c r="M10" s="4" t="s">
        <v>44</v>
      </c>
      <c r="N10" s="5">
        <v>45526</v>
      </c>
      <c r="O10" s="5">
        <v>45615</v>
      </c>
      <c r="P10" s="4" t="s">
        <v>62</v>
      </c>
      <c r="Q10" s="4" t="s">
        <v>75</v>
      </c>
      <c r="R10" s="4" t="str">
        <f>_xlfn.XLOOKUP(Tableau2[[#This Row],[ID référent]],Feuil4!A:A,Feuil4!BD:BD)</f>
        <v>Parfait MEZEME ONA</v>
      </c>
      <c r="S10" s="4" t="str">
        <f>IF(Tableau2[[#This Row],[Contact Chargé Exploitation]]="Parfait MEZEME ONA","06 63 06 94 73","06 74 09 71 44")</f>
        <v>06 63 06 94 73</v>
      </c>
      <c r="T10" s="4" t="s">
        <v>47</v>
      </c>
      <c r="U10" s="4" t="str">
        <f>IF(Tableau2[[#This Row],[Contact Gestion actif]]="Victor PONTAIS","06 69 21 76 42","06 74 94 09 90")</f>
        <v>06 74 94 09 90</v>
      </c>
      <c r="V10" s="6" t="s">
        <v>48</v>
      </c>
      <c r="W10" s="6" t="s">
        <v>48</v>
      </c>
      <c r="X10" s="6"/>
      <c r="Y10" s="19">
        <v>0.97688227158516061</v>
      </c>
      <c r="AA10" s="32"/>
      <c r="AB10" s="32"/>
      <c r="AC10" s="3" t="s">
        <v>57</v>
      </c>
      <c r="AD10" s="3" t="s">
        <v>57</v>
      </c>
      <c r="AE10" s="3" t="s">
        <v>49</v>
      </c>
    </row>
    <row r="11" spans="1:31">
      <c r="A11" s="17">
        <v>28173</v>
      </c>
      <c r="B11" s="4" t="s">
        <v>90</v>
      </c>
      <c r="C11" s="4">
        <v>113.03</v>
      </c>
      <c r="D11" s="4" t="s">
        <v>91</v>
      </c>
      <c r="E11" s="4">
        <v>43.042940000000002</v>
      </c>
      <c r="F11" s="4">
        <v>2.2398799999999999</v>
      </c>
      <c r="G11" s="4" t="s">
        <v>92</v>
      </c>
      <c r="H11" s="6">
        <v>11</v>
      </c>
      <c r="I11" s="4" t="s">
        <v>67</v>
      </c>
      <c r="J11" s="4" t="s">
        <v>93</v>
      </c>
      <c r="K11" s="5">
        <v>45488</v>
      </c>
      <c r="L11" s="5">
        <v>45551</v>
      </c>
      <c r="M11" s="4" t="s">
        <v>44</v>
      </c>
      <c r="N11" s="5">
        <v>45569</v>
      </c>
      <c r="O11" s="5">
        <v>45616</v>
      </c>
      <c r="P11" s="4" t="s">
        <v>74</v>
      </c>
      <c r="Q11" s="4" t="s">
        <v>85</v>
      </c>
      <c r="R11" s="4" t="str">
        <f>_xlfn.XLOOKUP(Tableau2[[#This Row],[ID référent]],Feuil4!A:A,Feuil4!BD:BD)</f>
        <v>Parfait MEZEME ONA</v>
      </c>
      <c r="S11" s="4" t="str">
        <f>IF(Tableau2[[#This Row],[Contact Chargé Exploitation]]="Parfait MEZEME ONA","06 63 06 94 73","06 74 09 71 44")</f>
        <v>06 63 06 94 73</v>
      </c>
      <c r="T11" s="4" t="s">
        <v>47</v>
      </c>
      <c r="U11" s="4" t="str">
        <f>IF(Tableau2[[#This Row],[Contact Gestion actif]]="Victor PONTAIS","06 69 21 76 42","06 74 94 09 90")</f>
        <v>06 74 94 09 90</v>
      </c>
      <c r="V11" s="6"/>
      <c r="W11" s="6" t="s">
        <v>48</v>
      </c>
      <c r="X11" s="6" t="s">
        <v>48</v>
      </c>
      <c r="Y11" s="19">
        <v>0.85352021443705961</v>
      </c>
      <c r="AA11" s="32"/>
      <c r="AB11" s="32"/>
      <c r="AC11" s="3" t="s">
        <v>57</v>
      </c>
      <c r="AD11" s="3" t="s">
        <v>57</v>
      </c>
      <c r="AE11" s="3" t="s">
        <v>49</v>
      </c>
    </row>
    <row r="12" spans="1:31">
      <c r="A12" s="17">
        <v>29246</v>
      </c>
      <c r="B12" s="4" t="s">
        <v>94</v>
      </c>
      <c r="C12" s="4">
        <v>173.55</v>
      </c>
      <c r="D12" s="4" t="s">
        <v>91</v>
      </c>
      <c r="E12" s="4">
        <v>46.633879999999998</v>
      </c>
      <c r="F12" s="4">
        <v>3.5823299999999998</v>
      </c>
      <c r="G12" s="4" t="s">
        <v>95</v>
      </c>
      <c r="H12" s="6">
        <v>3</v>
      </c>
      <c r="I12" s="4" t="s">
        <v>96</v>
      </c>
      <c r="J12" s="4" t="s">
        <v>43</v>
      </c>
      <c r="K12" s="5">
        <v>45594</v>
      </c>
      <c r="L12" s="5">
        <v>45615</v>
      </c>
      <c r="M12" s="4" t="s">
        <v>44</v>
      </c>
      <c r="N12" s="5">
        <v>45628</v>
      </c>
      <c r="O12" s="5">
        <v>45667</v>
      </c>
      <c r="P12" s="4" t="s">
        <v>97</v>
      </c>
      <c r="Q12" s="4" t="s">
        <v>56</v>
      </c>
      <c r="R12" s="4" t="str">
        <f>_xlfn.XLOOKUP(Tableau2[[#This Row],[ID référent]],Feuil4!A:A,Feuil4!BD:BD)</f>
        <v>Yasser BADREZZAMANE</v>
      </c>
      <c r="S12" s="4" t="str">
        <f>IF(Tableau2[[#This Row],[Contact Chargé Exploitation]]="Parfait MEZEME ONA","06 63 06 94 73","06 74 09 71 44")</f>
        <v>06 74 09 71 44</v>
      </c>
      <c r="T12" s="4" t="s">
        <v>47</v>
      </c>
      <c r="U12" s="4" t="str">
        <f>IF(Tableau2[[#This Row],[Contact Gestion actif]]="Victor PONTAIS","06 69 21 76 42","06 74 94 09 90")</f>
        <v>06 74 94 09 90</v>
      </c>
      <c r="V12" s="6"/>
      <c r="W12" s="6" t="s">
        <v>48</v>
      </c>
      <c r="X12" s="6"/>
      <c r="Y12" s="19">
        <v>0.959187896688802</v>
      </c>
      <c r="AA12" s="32"/>
      <c r="AB12" s="32"/>
      <c r="AC12" s="3" t="s">
        <v>57</v>
      </c>
      <c r="AD12" s="3" t="s">
        <v>57</v>
      </c>
      <c r="AE12" s="3" t="s">
        <v>49</v>
      </c>
    </row>
    <row r="13" spans="1:31">
      <c r="A13" s="17">
        <v>76547</v>
      </c>
      <c r="B13" s="4" t="s">
        <v>98</v>
      </c>
      <c r="C13" s="4">
        <v>345.8</v>
      </c>
      <c r="D13" s="4" t="s">
        <v>83</v>
      </c>
      <c r="E13" s="4">
        <v>46.514560000000003</v>
      </c>
      <c r="F13" s="4">
        <v>3.4143599999999998</v>
      </c>
      <c r="G13" s="4" t="s">
        <v>99</v>
      </c>
      <c r="H13" s="6">
        <v>3</v>
      </c>
      <c r="I13" s="4" t="s">
        <v>53</v>
      </c>
      <c r="J13" s="4" t="s">
        <v>43</v>
      </c>
      <c r="K13" s="5">
        <v>45561</v>
      </c>
      <c r="L13" s="5">
        <v>45618</v>
      </c>
      <c r="M13" s="4" t="s">
        <v>44</v>
      </c>
      <c r="N13" s="5">
        <v>45624</v>
      </c>
      <c r="O13" s="5">
        <v>45672</v>
      </c>
      <c r="P13" s="4" t="s">
        <v>97</v>
      </c>
      <c r="Q13" s="4" t="s">
        <v>56</v>
      </c>
      <c r="R13" s="4" t="str">
        <f>_xlfn.XLOOKUP(Tableau2[[#This Row],[ID référent]],Feuil4!A:A,Feuil4!BD:BD)</f>
        <v>Yasser BADREZZAMANE</v>
      </c>
      <c r="S13" s="4" t="str">
        <f>IF(Tableau2[[#This Row],[Contact Chargé Exploitation]]="Parfait MEZEME ONA","06 63 06 94 73","06 74 09 71 44")</f>
        <v>06 74 09 71 44</v>
      </c>
      <c r="T13" s="4" t="s">
        <v>86</v>
      </c>
      <c r="U13" s="4" t="str">
        <f>IF(Tableau2[[#This Row],[Contact Gestion actif]]="Victor PONTAIS","06 69 21 76 42","06 74 94 09 90")</f>
        <v>06 69 21 76 42</v>
      </c>
      <c r="V13" s="6"/>
      <c r="W13" s="6" t="s">
        <v>48</v>
      </c>
      <c r="X13" s="6" t="s">
        <v>48</v>
      </c>
      <c r="Y13" s="19">
        <v>0.84186717697644275</v>
      </c>
      <c r="AA13" s="32"/>
      <c r="AB13" s="32"/>
      <c r="AC13" s="3" t="s">
        <v>57</v>
      </c>
      <c r="AD13" s="3" t="s">
        <v>57</v>
      </c>
      <c r="AE13" s="3" t="s">
        <v>49</v>
      </c>
    </row>
    <row r="14" spans="1:31">
      <c r="A14" s="17">
        <v>22147</v>
      </c>
      <c r="B14" s="4" t="s">
        <v>100</v>
      </c>
      <c r="C14" s="4">
        <v>97.11</v>
      </c>
      <c r="D14" s="4" t="s">
        <v>83</v>
      </c>
      <c r="E14" s="4">
        <v>43.297058</v>
      </c>
      <c r="F14" s="4">
        <v>2.6659549999999999</v>
      </c>
      <c r="G14" s="4" t="s">
        <v>101</v>
      </c>
      <c r="H14" s="6">
        <v>11</v>
      </c>
      <c r="I14" s="4" t="s">
        <v>102</v>
      </c>
      <c r="J14" s="4" t="s">
        <v>103</v>
      </c>
      <c r="K14" s="5">
        <v>45579</v>
      </c>
      <c r="L14" s="5">
        <v>45623</v>
      </c>
      <c r="M14" s="4" t="s">
        <v>44</v>
      </c>
      <c r="N14" s="5">
        <v>45628</v>
      </c>
      <c r="O14" s="5">
        <v>45642</v>
      </c>
      <c r="P14" s="4" t="s">
        <v>62</v>
      </c>
      <c r="Q14" s="4" t="s">
        <v>70</v>
      </c>
      <c r="R14" s="4" t="str">
        <f>_xlfn.XLOOKUP(Tableau2[[#This Row],[ID référent]],Feuil4!A:A,Feuil4!BD:BD)</f>
        <v>Parfait MEZEME ONA</v>
      </c>
      <c r="S14" s="4" t="str">
        <f>IF(Tableau2[[#This Row],[Contact Chargé Exploitation]]="Parfait MEZEME ONA","06 63 06 94 73","06 74 09 71 44")</f>
        <v>06 63 06 94 73</v>
      </c>
      <c r="T14" s="4" t="s">
        <v>86</v>
      </c>
      <c r="U14" s="4" t="str">
        <f>IF(Tableau2[[#This Row],[Contact Gestion actif]]="Victor PONTAIS","06 69 21 76 42","06 74 94 09 90")</f>
        <v>06 69 21 76 42</v>
      </c>
      <c r="V14" s="6" t="s">
        <v>48</v>
      </c>
      <c r="W14" s="6" t="s">
        <v>48</v>
      </c>
      <c r="X14" s="6"/>
      <c r="Y14" s="19">
        <v>0.99854210040079838</v>
      </c>
      <c r="AA14" s="32"/>
      <c r="AB14" s="32"/>
      <c r="AC14" s="3" t="s">
        <v>49</v>
      </c>
      <c r="AD14" s="3" t="s">
        <v>49</v>
      </c>
      <c r="AE14" s="3" t="s">
        <v>49</v>
      </c>
    </row>
    <row r="15" spans="1:31">
      <c r="A15" s="17">
        <v>60830</v>
      </c>
      <c r="B15" s="4" t="s">
        <v>104</v>
      </c>
      <c r="C15" s="4">
        <v>232.2</v>
      </c>
      <c r="D15" s="4" t="s">
        <v>40</v>
      </c>
      <c r="E15" s="4">
        <v>46.628737999999998</v>
      </c>
      <c r="F15" s="4">
        <v>3.5850840000000002</v>
      </c>
      <c r="G15" s="4" t="s">
        <v>105</v>
      </c>
      <c r="H15" s="6">
        <v>3</v>
      </c>
      <c r="I15" s="4" t="s">
        <v>96</v>
      </c>
      <c r="J15" s="4" t="s">
        <v>43</v>
      </c>
      <c r="K15" s="5">
        <v>45565</v>
      </c>
      <c r="L15" s="5">
        <v>45618</v>
      </c>
      <c r="M15" s="4" t="s">
        <v>44</v>
      </c>
      <c r="N15" s="5">
        <v>45623</v>
      </c>
      <c r="O15" s="5">
        <v>45687</v>
      </c>
      <c r="P15" s="4" t="s">
        <v>97</v>
      </c>
      <c r="Q15" s="4" t="s">
        <v>75</v>
      </c>
      <c r="R15" s="4" t="str">
        <f>_xlfn.XLOOKUP(Tableau2[[#This Row],[ID référent]],Feuil4!A:A,Feuil4!BD:BD)</f>
        <v>Yasser BADREZZAMANE</v>
      </c>
      <c r="S15" s="4" t="str">
        <f>IF(Tableau2[[#This Row],[Contact Chargé Exploitation]]="Parfait MEZEME ONA","06 63 06 94 73","06 74 09 71 44")</f>
        <v>06 74 09 71 44</v>
      </c>
      <c r="T15" s="4" t="s">
        <v>47</v>
      </c>
      <c r="U15" s="4" t="str">
        <f>IF(Tableau2[[#This Row],[Contact Gestion actif]]="Victor PONTAIS","06 69 21 76 42","06 74 94 09 90")</f>
        <v>06 74 94 09 90</v>
      </c>
      <c r="V15" s="6"/>
      <c r="W15" s="6" t="s">
        <v>48</v>
      </c>
      <c r="X15" s="6"/>
      <c r="Y15" s="19">
        <v>1.2162829469508953</v>
      </c>
      <c r="AA15" s="32"/>
      <c r="AB15" s="32"/>
      <c r="AC15" s="3" t="s">
        <v>57</v>
      </c>
      <c r="AD15" s="3" t="s">
        <v>57</v>
      </c>
      <c r="AE15" s="3" t="s">
        <v>49</v>
      </c>
    </row>
    <row r="16" spans="1:31">
      <c r="A16" s="17">
        <v>95686</v>
      </c>
      <c r="B16" s="4" t="s">
        <v>106</v>
      </c>
      <c r="C16" s="4">
        <v>499.95</v>
      </c>
      <c r="D16" s="4" t="s">
        <v>83</v>
      </c>
      <c r="E16" s="4">
        <v>46.212119999999999</v>
      </c>
      <c r="F16" s="4">
        <v>1.6677900000000001</v>
      </c>
      <c r="G16" s="4" t="s">
        <v>107</v>
      </c>
      <c r="H16" s="6">
        <v>23</v>
      </c>
      <c r="I16" s="4" t="s">
        <v>79</v>
      </c>
      <c r="J16" s="4" t="s">
        <v>108</v>
      </c>
      <c r="K16" s="5">
        <v>45530</v>
      </c>
      <c r="L16" s="5">
        <v>45567</v>
      </c>
      <c r="M16" s="4" t="s">
        <v>44</v>
      </c>
      <c r="N16" s="5">
        <v>45601</v>
      </c>
      <c r="O16" s="5">
        <v>45692</v>
      </c>
      <c r="P16" s="4" t="s">
        <v>62</v>
      </c>
      <c r="Q16" s="4" t="s">
        <v>109</v>
      </c>
      <c r="R16" s="4" t="str">
        <f>_xlfn.XLOOKUP(Tableau2[[#This Row],[ID référent]],Feuil4!A:A,Feuil4!BD:BD)</f>
        <v>Parfait MEZEME ONA</v>
      </c>
      <c r="S16" s="4" t="str">
        <f>IF(Tableau2[[#This Row],[Contact Chargé Exploitation]]="Parfait MEZEME ONA","06 63 06 94 73","06 74 09 71 44")</f>
        <v>06 63 06 94 73</v>
      </c>
      <c r="T16" s="4" t="s">
        <v>86</v>
      </c>
      <c r="U16" s="4" t="str">
        <f>IF(Tableau2[[#This Row],[Contact Gestion actif]]="Victor PONTAIS","06 69 21 76 42","06 74 94 09 90")</f>
        <v>06 69 21 76 42</v>
      </c>
      <c r="V16" s="6"/>
      <c r="W16" s="6" t="s">
        <v>48</v>
      </c>
      <c r="X16" s="6"/>
      <c r="Y16" s="19">
        <v>0.68927500866195401</v>
      </c>
      <c r="Z16" t="s">
        <v>110</v>
      </c>
      <c r="AA16" s="32"/>
      <c r="AB16" s="32"/>
      <c r="AC16" s="3" t="s">
        <v>49</v>
      </c>
      <c r="AD16" s="3" t="s">
        <v>57</v>
      </c>
      <c r="AE16" s="3" t="s">
        <v>49</v>
      </c>
    </row>
    <row r="17" spans="1:31">
      <c r="A17" s="17">
        <v>95689</v>
      </c>
      <c r="B17" s="4" t="s">
        <v>111</v>
      </c>
      <c r="C17" s="4">
        <v>498.68</v>
      </c>
      <c r="D17" s="4" t="s">
        <v>83</v>
      </c>
      <c r="E17" s="4">
        <v>46.188659999999999</v>
      </c>
      <c r="F17" s="4">
        <v>1.7008700000000001</v>
      </c>
      <c r="G17" s="4" t="s">
        <v>112</v>
      </c>
      <c r="H17" s="6">
        <v>23</v>
      </c>
      <c r="I17" s="4" t="s">
        <v>67</v>
      </c>
      <c r="J17" s="4" t="s">
        <v>113</v>
      </c>
      <c r="K17" s="5">
        <v>45635</v>
      </c>
      <c r="L17" s="5">
        <v>45681</v>
      </c>
      <c r="M17" s="4" t="s">
        <v>44</v>
      </c>
      <c r="N17" s="5">
        <v>45691</v>
      </c>
      <c r="O17" s="5">
        <v>45728</v>
      </c>
      <c r="P17" s="4" t="s">
        <v>62</v>
      </c>
      <c r="Q17" s="4" t="s">
        <v>56</v>
      </c>
      <c r="R17" s="4" t="str">
        <f>_xlfn.XLOOKUP(Tableau2[[#This Row],[ID référent]],Feuil4!A:A,Feuil4!BD:BD)</f>
        <v>Parfait MEZEME ONA</v>
      </c>
      <c r="S17" s="4" t="str">
        <f>IF(Tableau2[[#This Row],[Contact Chargé Exploitation]]="Parfait MEZEME ONA","06 63 06 94 73","06 74 09 71 44")</f>
        <v>06 63 06 94 73</v>
      </c>
      <c r="T17" s="4" t="s">
        <v>86</v>
      </c>
      <c r="U17" s="4" t="str">
        <f>IF(Tableau2[[#This Row],[Contact Gestion actif]]="Victor PONTAIS","06 69 21 76 42","06 74 94 09 90")</f>
        <v>06 69 21 76 42</v>
      </c>
      <c r="V17" s="6"/>
      <c r="W17" s="6" t="s">
        <v>48</v>
      </c>
      <c r="X17" s="6" t="s">
        <v>48</v>
      </c>
      <c r="Y17" s="19">
        <v>0.87241290320533083</v>
      </c>
      <c r="AA17" s="32"/>
      <c r="AB17" s="32"/>
      <c r="AC17" s="3" t="s">
        <v>57</v>
      </c>
      <c r="AD17" s="3" t="s">
        <v>57</v>
      </c>
      <c r="AE17" s="3" t="s">
        <v>49</v>
      </c>
    </row>
    <row r="18" spans="1:31">
      <c r="A18" s="17">
        <v>95691</v>
      </c>
      <c r="B18" s="4" t="s">
        <v>114</v>
      </c>
      <c r="C18" s="4">
        <v>499.14</v>
      </c>
      <c r="D18" s="4" t="s">
        <v>83</v>
      </c>
      <c r="E18" s="4">
        <v>46.210569999999997</v>
      </c>
      <c r="F18" s="4">
        <v>1.67252</v>
      </c>
      <c r="G18" s="4" t="s">
        <v>115</v>
      </c>
      <c r="H18" s="6">
        <v>23</v>
      </c>
      <c r="I18" s="4" t="s">
        <v>67</v>
      </c>
      <c r="J18" s="4" t="s">
        <v>113</v>
      </c>
      <c r="K18" s="5">
        <v>45642</v>
      </c>
      <c r="L18" s="5">
        <v>45688</v>
      </c>
      <c r="M18" s="4" t="s">
        <v>44</v>
      </c>
      <c r="N18" s="5">
        <v>45691</v>
      </c>
      <c r="O18" s="5">
        <v>45727</v>
      </c>
      <c r="P18" s="4" t="s">
        <v>62</v>
      </c>
      <c r="Q18" s="4" t="s">
        <v>56</v>
      </c>
      <c r="R18" s="4" t="str">
        <f>_xlfn.XLOOKUP(Tableau2[[#This Row],[ID référent]],Feuil4!A:A,Feuil4!BD:BD)</f>
        <v>Parfait MEZEME ONA</v>
      </c>
      <c r="S18" s="4" t="str">
        <f>IF(Tableau2[[#This Row],[Contact Chargé Exploitation]]="Parfait MEZEME ONA","06 63 06 94 73","06 74 09 71 44")</f>
        <v>06 63 06 94 73</v>
      </c>
      <c r="T18" s="4" t="s">
        <v>86</v>
      </c>
      <c r="U18" s="4" t="str">
        <f>IF(Tableau2[[#This Row],[Contact Gestion actif]]="Victor PONTAIS","06 69 21 76 42","06 74 94 09 90")</f>
        <v>06 69 21 76 42</v>
      </c>
      <c r="V18" s="6"/>
      <c r="W18" s="6" t="s">
        <v>48</v>
      </c>
      <c r="X18" s="6"/>
      <c r="Y18" s="19">
        <v>0.91771620245562369</v>
      </c>
      <c r="AA18" s="32"/>
      <c r="AB18" s="32"/>
      <c r="AC18" s="3" t="s">
        <v>57</v>
      </c>
      <c r="AD18" s="3" t="s">
        <v>57</v>
      </c>
      <c r="AE18" s="3" t="s">
        <v>49</v>
      </c>
    </row>
    <row r="19" spans="1:31">
      <c r="A19" s="17">
        <v>83431</v>
      </c>
      <c r="B19" s="4" t="s">
        <v>116</v>
      </c>
      <c r="C19" s="4">
        <v>324.87</v>
      </c>
      <c r="D19" s="4" t="s">
        <v>117</v>
      </c>
      <c r="E19" s="4">
        <v>46.414110000000001</v>
      </c>
      <c r="F19" s="4">
        <v>-0.53832000000000002</v>
      </c>
      <c r="G19" s="4" t="s">
        <v>118</v>
      </c>
      <c r="H19" s="6">
        <v>79</v>
      </c>
      <c r="I19" s="4" t="s">
        <v>96</v>
      </c>
      <c r="J19" s="4" t="s">
        <v>119</v>
      </c>
      <c r="K19" s="5">
        <v>45677</v>
      </c>
      <c r="L19" s="5">
        <v>45695</v>
      </c>
      <c r="M19" s="4" t="s">
        <v>44</v>
      </c>
      <c r="N19" s="5">
        <v>45707</v>
      </c>
      <c r="O19" s="5">
        <v>45736</v>
      </c>
      <c r="P19" s="4" t="s">
        <v>62</v>
      </c>
      <c r="Q19" s="4" t="s">
        <v>56</v>
      </c>
      <c r="R19" s="4" t="str">
        <f>_xlfn.XLOOKUP(Tableau2[[#This Row],[ID référent]],Feuil4!A:A,Feuil4!BD:BD)</f>
        <v>Yasser BADREZZAMANE</v>
      </c>
      <c r="S19" s="4" t="str">
        <f>IF(Tableau2[[#This Row],[Contact Chargé Exploitation]]="Parfait MEZEME ONA","06 63 06 94 73","06 74 09 71 44")</f>
        <v>06 74 09 71 44</v>
      </c>
      <c r="T19" s="4" t="s">
        <v>47</v>
      </c>
      <c r="U19" s="4" t="str">
        <f>IF(Tableau2[[#This Row],[Contact Gestion actif]]="Victor PONTAIS","06 69 21 76 42","06 74 94 09 90")</f>
        <v>06 74 94 09 90</v>
      </c>
      <c r="V19" s="6" t="s">
        <v>48</v>
      </c>
      <c r="W19" s="6" t="s">
        <v>48</v>
      </c>
      <c r="X19" s="6"/>
      <c r="Y19" s="19">
        <v>1.1010635935736386</v>
      </c>
      <c r="AA19" s="32"/>
      <c r="AB19" s="32"/>
      <c r="AC19" s="3" t="s">
        <v>49</v>
      </c>
      <c r="AD19" s="3" t="s">
        <v>57</v>
      </c>
      <c r="AE19" s="3" t="s">
        <v>57</v>
      </c>
    </row>
    <row r="20" spans="1:31">
      <c r="A20" s="17">
        <v>96546</v>
      </c>
      <c r="B20" s="4" t="s">
        <v>120</v>
      </c>
      <c r="C20" s="4">
        <v>499.59</v>
      </c>
      <c r="D20" s="4" t="s">
        <v>117</v>
      </c>
      <c r="E20" s="4">
        <v>45.452821</v>
      </c>
      <c r="F20" s="4">
        <v>1.2834000000000001</v>
      </c>
      <c r="G20" s="4" t="s">
        <v>121</v>
      </c>
      <c r="H20" s="6">
        <v>19</v>
      </c>
      <c r="I20" s="4" t="s">
        <v>122</v>
      </c>
      <c r="J20" s="4" t="s">
        <v>123</v>
      </c>
      <c r="K20" s="5">
        <v>45639</v>
      </c>
      <c r="L20" s="5">
        <v>45709</v>
      </c>
      <c r="M20" s="4" t="s">
        <v>44</v>
      </c>
      <c r="N20" s="5">
        <v>45722</v>
      </c>
      <c r="O20" s="5">
        <v>45741</v>
      </c>
      <c r="P20" s="4" t="s">
        <v>62</v>
      </c>
      <c r="Q20" s="4" t="s">
        <v>56</v>
      </c>
      <c r="R20" s="4" t="str">
        <f>_xlfn.XLOOKUP(Tableau2[[#This Row],[ID référent]],Feuil4!A:A,Feuil4!BD:BD)</f>
        <v>Parfait MEZEME ONA</v>
      </c>
      <c r="S20" s="4" t="str">
        <f>IF(Tableau2[[#This Row],[Contact Chargé Exploitation]]="Parfait MEZEME ONA","06 63 06 94 73","06 74 09 71 44")</f>
        <v>06 63 06 94 73</v>
      </c>
      <c r="T20" s="4" t="s">
        <v>47</v>
      </c>
      <c r="U20" s="4" t="str">
        <f>IF(Tableau2[[#This Row],[Contact Gestion actif]]="Victor PONTAIS","06 69 21 76 42","06 74 94 09 90")</f>
        <v>06 74 94 09 90</v>
      </c>
      <c r="V20" s="6" t="s">
        <v>48</v>
      </c>
      <c r="W20" s="6" t="s">
        <v>48</v>
      </c>
      <c r="X20" s="6" t="s">
        <v>48</v>
      </c>
      <c r="Y20" s="19">
        <v>0.88947520387704315</v>
      </c>
      <c r="AA20" s="32"/>
      <c r="AB20" s="32"/>
      <c r="AC20" s="3" t="s">
        <v>57</v>
      </c>
      <c r="AD20" s="3" t="s">
        <v>57</v>
      </c>
      <c r="AE20" s="3" t="s">
        <v>49</v>
      </c>
    </row>
    <row r="21" spans="1:31">
      <c r="A21" s="17">
        <v>82076</v>
      </c>
      <c r="B21" s="4" t="s">
        <v>124</v>
      </c>
      <c r="C21" s="4">
        <v>348.88</v>
      </c>
      <c r="D21" s="4" t="s">
        <v>125</v>
      </c>
      <c r="E21" s="4">
        <v>46.587409999999998</v>
      </c>
      <c r="F21" s="4">
        <v>3.5493999999999999</v>
      </c>
      <c r="G21" s="4" t="s">
        <v>126</v>
      </c>
      <c r="H21" s="6">
        <v>3</v>
      </c>
      <c r="I21" s="4" t="s">
        <v>67</v>
      </c>
      <c r="J21" s="4" t="s">
        <v>68</v>
      </c>
      <c r="K21" s="5">
        <v>45483</v>
      </c>
      <c r="L21" s="5">
        <v>45565</v>
      </c>
      <c r="M21" s="4" t="s">
        <v>44</v>
      </c>
      <c r="N21" s="5">
        <v>45574</v>
      </c>
      <c r="O21" s="5">
        <v>45751</v>
      </c>
      <c r="P21" s="4" t="s">
        <v>62</v>
      </c>
      <c r="Q21" s="4" t="s">
        <v>85</v>
      </c>
      <c r="R21" s="4" t="str">
        <f>_xlfn.XLOOKUP(Tableau2[[#This Row],[ID référent]],Feuil4!A:A,Feuil4!BD:BD)</f>
        <v>Yasser BADREZZAMANE</v>
      </c>
      <c r="S21" s="4" t="str">
        <f>IF(Tableau2[[#This Row],[Contact Chargé Exploitation]]="Parfait MEZEME ONA","06 63 06 94 73","06 74 09 71 44")</f>
        <v>06 74 09 71 44</v>
      </c>
      <c r="T21" s="4" t="s">
        <v>86</v>
      </c>
      <c r="U21" s="4" t="str">
        <f>IF(Tableau2[[#This Row],[Contact Gestion actif]]="Victor PONTAIS","06 69 21 76 42","06 74 94 09 90")</f>
        <v>06 69 21 76 42</v>
      </c>
      <c r="V21" s="6"/>
      <c r="W21" s="6" t="s">
        <v>48</v>
      </c>
      <c r="X21" s="6"/>
      <c r="Y21" s="19">
        <v>0.97496649481429554</v>
      </c>
      <c r="AA21" s="32"/>
      <c r="AB21" s="32"/>
      <c r="AC21" s="3" t="s">
        <v>57</v>
      </c>
      <c r="AD21" s="3" t="s">
        <v>57</v>
      </c>
      <c r="AE21" s="3" t="s">
        <v>49</v>
      </c>
    </row>
    <row r="22" spans="1:31">
      <c r="A22" s="17">
        <v>98584</v>
      </c>
      <c r="B22" s="4" t="s">
        <v>127</v>
      </c>
      <c r="C22" s="4">
        <v>330.78500000000003</v>
      </c>
      <c r="D22" s="4" t="s">
        <v>125</v>
      </c>
      <c r="E22" s="4">
        <v>44.662390000000002</v>
      </c>
      <c r="F22" s="4">
        <v>0.83643000000000001</v>
      </c>
      <c r="G22" s="4" t="s">
        <v>128</v>
      </c>
      <c r="H22" s="6">
        <v>47</v>
      </c>
      <c r="I22" s="4" t="s">
        <v>79</v>
      </c>
      <c r="J22" s="4" t="s">
        <v>80</v>
      </c>
      <c r="K22" s="5">
        <v>45663</v>
      </c>
      <c r="L22" s="5">
        <v>45705</v>
      </c>
      <c r="M22" s="4" t="s">
        <v>44</v>
      </c>
      <c r="N22" s="5">
        <v>45729</v>
      </c>
      <c r="O22" s="5">
        <v>45763</v>
      </c>
      <c r="P22" s="4" t="s">
        <v>62</v>
      </c>
      <c r="Q22" s="4" t="s">
        <v>63</v>
      </c>
      <c r="R22" s="4" t="str">
        <f>_xlfn.XLOOKUP(Tableau2[[#This Row],[ID référent]],Feuil4!A:A,Feuil4!BD:BD)</f>
        <v>Yasser BADREZZAMANE</v>
      </c>
      <c r="S22" s="4" t="str">
        <f>IF(Tableau2[[#This Row],[Contact Chargé Exploitation]]="Parfait MEZEME ONA","06 63 06 94 73","06 74 09 71 44")</f>
        <v>06 74 09 71 44</v>
      </c>
      <c r="T22" s="4" t="s">
        <v>86</v>
      </c>
      <c r="U22" s="4" t="str">
        <f>IF(Tableau2[[#This Row],[Contact Gestion actif]]="Victor PONTAIS","06 69 21 76 42","06 74 94 09 90")</f>
        <v>06 69 21 76 42</v>
      </c>
      <c r="V22" s="6"/>
      <c r="W22" s="6" t="s">
        <v>48</v>
      </c>
      <c r="X22" s="6"/>
      <c r="Y22" s="19">
        <v>0.95449521135400517</v>
      </c>
      <c r="AA22" s="32"/>
      <c r="AB22" s="32"/>
      <c r="AC22" s="3" t="s">
        <v>57</v>
      </c>
      <c r="AD22" s="3" t="s">
        <v>57</v>
      </c>
      <c r="AE22" s="3" t="s">
        <v>49</v>
      </c>
    </row>
    <row r="23" spans="1:31">
      <c r="A23" s="17">
        <v>20614</v>
      </c>
      <c r="B23" s="4" t="s">
        <v>129</v>
      </c>
      <c r="C23" s="4">
        <v>278.64</v>
      </c>
      <c r="D23" s="4" t="s">
        <v>40</v>
      </c>
      <c r="E23" s="4">
        <v>48.107174000000001</v>
      </c>
      <c r="F23" s="4">
        <v>3.1205349999999998</v>
      </c>
      <c r="G23" s="4" t="s">
        <v>130</v>
      </c>
      <c r="H23" s="6">
        <v>89</v>
      </c>
      <c r="I23" s="4" t="s">
        <v>96</v>
      </c>
      <c r="J23" s="4" t="s">
        <v>43</v>
      </c>
      <c r="K23" s="5">
        <v>45376</v>
      </c>
      <c r="L23" s="5">
        <v>45660</v>
      </c>
      <c r="M23" s="4" t="s">
        <v>44</v>
      </c>
      <c r="N23" s="5">
        <v>45666</v>
      </c>
      <c r="O23" s="5">
        <v>45687</v>
      </c>
      <c r="P23" s="4" t="s">
        <v>97</v>
      </c>
      <c r="Q23" s="4" t="s">
        <v>75</v>
      </c>
      <c r="R23" s="4" t="str">
        <f>_xlfn.XLOOKUP(Tableau2[[#This Row],[ID référent]],Feuil4!A:A,Feuil4!BD:BD)</f>
        <v>Yasser BADREZZAMANE</v>
      </c>
      <c r="S23" s="4" t="str">
        <f>IF(Tableau2[[#This Row],[Contact Chargé Exploitation]]="Parfait MEZEME ONA","06 63 06 94 73","06 74 09 71 44")</f>
        <v>06 74 09 71 44</v>
      </c>
      <c r="T23" s="4" t="s">
        <v>47</v>
      </c>
      <c r="U23" s="4" t="str">
        <f>IF(Tableau2[[#This Row],[Contact Gestion actif]]="Victor PONTAIS","06 69 21 76 42","06 74 94 09 90")</f>
        <v>06 74 94 09 90</v>
      </c>
      <c r="V23" s="6" t="s">
        <v>48</v>
      </c>
      <c r="W23" s="6" t="s">
        <v>48</v>
      </c>
      <c r="X23" s="6"/>
      <c r="Y23" s="19">
        <v>1.0327699198528055</v>
      </c>
      <c r="AA23" s="32"/>
      <c r="AB23" s="32"/>
      <c r="AC23" s="3" t="s">
        <v>57</v>
      </c>
      <c r="AD23" s="3" t="s">
        <v>57</v>
      </c>
      <c r="AE23" s="3" t="s">
        <v>49</v>
      </c>
    </row>
    <row r="24" spans="1:31">
      <c r="A24" s="17">
        <v>15843</v>
      </c>
      <c r="B24" s="4" t="s">
        <v>71</v>
      </c>
      <c r="C24" s="4">
        <v>313.95</v>
      </c>
      <c r="D24" s="4" t="s">
        <v>91</v>
      </c>
      <c r="E24" s="4">
        <v>44.927819999999997</v>
      </c>
      <c r="F24" s="4">
        <v>2.9899200000000001</v>
      </c>
      <c r="G24" s="4" t="s">
        <v>131</v>
      </c>
      <c r="H24" s="6">
        <v>15</v>
      </c>
      <c r="I24" s="4" t="s">
        <v>79</v>
      </c>
      <c r="J24" s="4" t="s">
        <v>132</v>
      </c>
      <c r="K24" s="5">
        <v>45691</v>
      </c>
      <c r="L24" s="5">
        <v>45709</v>
      </c>
      <c r="M24" s="4" t="s">
        <v>44</v>
      </c>
      <c r="N24" s="5">
        <v>45713</v>
      </c>
      <c r="O24" s="5">
        <v>45769</v>
      </c>
      <c r="P24" s="4" t="s">
        <v>62</v>
      </c>
      <c r="Q24" s="4" t="s">
        <v>56</v>
      </c>
      <c r="R24" s="4" t="str">
        <f>_xlfn.XLOOKUP(Tableau2[[#This Row],[ID référent]],Feuil4!A:A,Feuil4!BD:BD)</f>
        <v>Parfait MEZEME ONA</v>
      </c>
      <c r="S24" s="4" t="str">
        <f>IF(Tableau2[[#This Row],[Contact Chargé Exploitation]]="Parfait MEZEME ONA","06 63 06 94 73","06 74 09 71 44")</f>
        <v>06 63 06 94 73</v>
      </c>
      <c r="T24" s="4" t="s">
        <v>47</v>
      </c>
      <c r="U24" s="4" t="str">
        <f>IF(Tableau2[[#This Row],[Contact Gestion actif]]="Victor PONTAIS","06 69 21 76 42","06 74 94 09 90")</f>
        <v>06 74 94 09 90</v>
      </c>
      <c r="V24" s="6"/>
      <c r="W24" s="6" t="s">
        <v>48</v>
      </c>
      <c r="X24" s="6"/>
      <c r="Y24" s="19">
        <v>0.95044436979592806</v>
      </c>
      <c r="AA24" s="32"/>
      <c r="AB24" s="32"/>
      <c r="AC24" s="3" t="s">
        <v>57</v>
      </c>
      <c r="AD24" s="3" t="s">
        <v>57</v>
      </c>
      <c r="AE24" s="3" t="s">
        <v>49</v>
      </c>
    </row>
    <row r="25" spans="1:31">
      <c r="A25" s="17">
        <v>90361</v>
      </c>
      <c r="B25" s="4" t="s">
        <v>133</v>
      </c>
      <c r="C25" s="4">
        <v>218.85499999999999</v>
      </c>
      <c r="D25" s="4" t="s">
        <v>51</v>
      </c>
      <c r="E25" s="4">
        <v>46.693800000000003</v>
      </c>
      <c r="F25" s="4">
        <v>4.1036099999999998</v>
      </c>
      <c r="G25" s="4" t="s">
        <v>134</v>
      </c>
      <c r="H25" s="6">
        <v>71</v>
      </c>
      <c r="I25" s="4" t="s">
        <v>67</v>
      </c>
      <c r="J25" s="4" t="s">
        <v>68</v>
      </c>
      <c r="K25" s="5">
        <v>45624</v>
      </c>
      <c r="L25" s="5">
        <v>45678</v>
      </c>
      <c r="M25" s="4" t="s">
        <v>44</v>
      </c>
      <c r="N25" s="5">
        <v>45693</v>
      </c>
      <c r="O25" s="5">
        <v>45799</v>
      </c>
      <c r="P25" s="4" t="s">
        <v>62</v>
      </c>
      <c r="Q25" s="4" t="s">
        <v>56</v>
      </c>
      <c r="R25" s="4" t="str">
        <f>_xlfn.XLOOKUP(Tableau2[[#This Row],[ID référent]],Feuil4!A:A,Feuil4!BD:BD)</f>
        <v>Yasser BADREZZAMANE</v>
      </c>
      <c r="S25" s="4" t="str">
        <f>IF(Tableau2[[#This Row],[Contact Chargé Exploitation]]="Parfait MEZEME ONA","06 63 06 94 73","06 74 09 71 44")</f>
        <v>06 74 09 71 44</v>
      </c>
      <c r="T25" s="4" t="s">
        <v>47</v>
      </c>
      <c r="U25" s="4" t="str">
        <f>IF(Tableau2[[#This Row],[Contact Gestion actif]]="Victor PONTAIS","06 69 21 76 42","06 74 94 09 90")</f>
        <v>06 74 94 09 90</v>
      </c>
      <c r="V25" s="6"/>
      <c r="W25" s="6" t="s">
        <v>48</v>
      </c>
      <c r="X25" s="6"/>
      <c r="Y25" s="19">
        <v>1.0325475452756088</v>
      </c>
      <c r="AA25" s="32"/>
      <c r="AB25" s="32"/>
      <c r="AC25" s="3" t="s">
        <v>57</v>
      </c>
      <c r="AD25" s="3" t="s">
        <v>57</v>
      </c>
      <c r="AE25" s="3" t="s">
        <v>49</v>
      </c>
    </row>
    <row r="26" spans="1:31">
      <c r="A26" s="17">
        <v>33559</v>
      </c>
      <c r="B26" s="4" t="s">
        <v>135</v>
      </c>
      <c r="C26" s="4">
        <v>278.005</v>
      </c>
      <c r="D26" s="4" t="s">
        <v>125</v>
      </c>
      <c r="E26" s="4">
        <v>44.148040000000002</v>
      </c>
      <c r="F26" s="4">
        <v>0.44966</v>
      </c>
      <c r="G26" s="4" t="s">
        <v>136</v>
      </c>
      <c r="H26" s="6">
        <v>47</v>
      </c>
      <c r="I26" s="4" t="s">
        <v>96</v>
      </c>
      <c r="J26" s="4" t="s">
        <v>80</v>
      </c>
      <c r="K26" s="5">
        <v>45642</v>
      </c>
      <c r="L26" s="5">
        <v>45747</v>
      </c>
      <c r="M26" s="4" t="s">
        <v>44</v>
      </c>
      <c r="N26" s="5">
        <v>45758</v>
      </c>
      <c r="O26" s="5">
        <v>45793</v>
      </c>
      <c r="P26" s="4" t="s">
        <v>62</v>
      </c>
      <c r="Q26" s="4" t="s">
        <v>63</v>
      </c>
      <c r="R26" s="4" t="str">
        <f>_xlfn.XLOOKUP(Tableau2[[#This Row],[ID référent]],Feuil4!A:A,Feuil4!BD:BD)</f>
        <v>Parfait MEZEME ONA</v>
      </c>
      <c r="S26" s="4" t="str">
        <f>IF(Tableau2[[#This Row],[Contact Chargé Exploitation]]="Parfait MEZEME ONA","06 63 06 94 73","06 74 09 71 44")</f>
        <v>06 63 06 94 73</v>
      </c>
      <c r="T26" s="4" t="s">
        <v>86</v>
      </c>
      <c r="U26" s="4" t="str">
        <f>IF(Tableau2[[#This Row],[Contact Gestion actif]]="Victor PONTAIS","06 69 21 76 42","06 74 94 09 90")</f>
        <v>06 69 21 76 42</v>
      </c>
      <c r="V26" s="6"/>
      <c r="W26" s="6" t="s">
        <v>48</v>
      </c>
      <c r="X26" s="6"/>
      <c r="Y26" s="19">
        <v>1.2212427831088406</v>
      </c>
      <c r="AA26" s="32"/>
      <c r="AB26" s="32"/>
      <c r="AC26" s="3" t="s">
        <v>49</v>
      </c>
      <c r="AD26" s="3" t="s">
        <v>57</v>
      </c>
      <c r="AE26" s="3" t="s">
        <v>49</v>
      </c>
    </row>
    <row r="27" spans="1:31">
      <c r="A27" s="17">
        <v>95918</v>
      </c>
      <c r="B27" s="4" t="s">
        <v>137</v>
      </c>
      <c r="C27" s="4">
        <v>309.39999999999998</v>
      </c>
      <c r="D27" s="4" t="s">
        <v>83</v>
      </c>
      <c r="E27" s="4">
        <v>43.043824999999998</v>
      </c>
      <c r="F27" s="4">
        <v>0.85933300000000001</v>
      </c>
      <c r="G27" s="4" t="s">
        <v>138</v>
      </c>
      <c r="H27" s="6">
        <v>31</v>
      </c>
      <c r="I27" s="4" t="s">
        <v>53</v>
      </c>
      <c r="J27" s="4" t="s">
        <v>139</v>
      </c>
      <c r="K27" s="5">
        <v>45719</v>
      </c>
      <c r="L27" s="5">
        <v>45741</v>
      </c>
      <c r="M27" s="4" t="s">
        <v>61</v>
      </c>
      <c r="N27" s="5">
        <v>45750</v>
      </c>
      <c r="O27" s="5">
        <v>45803</v>
      </c>
      <c r="P27" s="4" t="s">
        <v>62</v>
      </c>
      <c r="Q27" s="4" t="s">
        <v>63</v>
      </c>
      <c r="R27" s="4" t="str">
        <f>_xlfn.XLOOKUP(Tableau2[[#This Row],[ID référent]],Feuil4!A:A,Feuil4!BD:BD)</f>
        <v>Yasser BADREZZAMANE</v>
      </c>
      <c r="S27" s="4" t="str">
        <f>IF(Tableau2[[#This Row],[Contact Chargé Exploitation]]="Parfait MEZEME ONA","06 63 06 94 73","06 74 09 71 44")</f>
        <v>06 74 09 71 44</v>
      </c>
      <c r="T27" s="4" t="s">
        <v>86</v>
      </c>
      <c r="U27" s="4" t="str">
        <f>IF(Tableau2[[#This Row],[Contact Gestion actif]]="Victor PONTAIS","06 69 21 76 42","06 74 94 09 90")</f>
        <v>06 69 21 76 42</v>
      </c>
      <c r="V27" s="6"/>
      <c r="W27" s="6" t="s">
        <v>48</v>
      </c>
      <c r="X27" s="6"/>
      <c r="Y27" s="19">
        <v>0.95831199533879052</v>
      </c>
      <c r="AA27" s="32"/>
      <c r="AB27" s="32"/>
      <c r="AC27" s="3" t="s">
        <v>57</v>
      </c>
      <c r="AD27" s="3" t="s">
        <v>57</v>
      </c>
      <c r="AE27" s="3" t="s">
        <v>49</v>
      </c>
    </row>
    <row r="28" spans="1:31">
      <c r="A28" s="17">
        <v>95695</v>
      </c>
      <c r="B28" s="4" t="s">
        <v>140</v>
      </c>
      <c r="C28" s="4">
        <v>456.82</v>
      </c>
      <c r="D28" s="4" t="s">
        <v>83</v>
      </c>
      <c r="E28" s="4">
        <v>46.212595327494697</v>
      </c>
      <c r="F28" s="4">
        <v>1.6665263501591501</v>
      </c>
      <c r="G28" s="4" t="s">
        <v>141</v>
      </c>
      <c r="H28" s="6">
        <v>23</v>
      </c>
      <c r="I28" s="4" t="s">
        <v>67</v>
      </c>
      <c r="J28" s="4" t="s">
        <v>108</v>
      </c>
      <c r="K28" s="5">
        <v>45684</v>
      </c>
      <c r="L28" s="5">
        <v>45758</v>
      </c>
      <c r="M28" s="4" t="s">
        <v>44</v>
      </c>
      <c r="N28" s="5">
        <v>45723</v>
      </c>
      <c r="O28" s="5">
        <v>45743</v>
      </c>
      <c r="P28" s="4" t="s">
        <v>62</v>
      </c>
      <c r="Q28" s="4" t="s">
        <v>56</v>
      </c>
      <c r="R28" s="4" t="str">
        <f>_xlfn.XLOOKUP(Tableau2[[#This Row],[ID référent]],Feuil4!A:A,Feuil4!BD:BD)</f>
        <v>Parfait MEZEME ONA</v>
      </c>
      <c r="S28" s="4" t="str">
        <f>IF(Tableau2[[#This Row],[Contact Chargé Exploitation]]="Parfait MEZEME ONA","06 63 06 94 73","06 74 09 71 44")</f>
        <v>06 63 06 94 73</v>
      </c>
      <c r="T28" s="4" t="s">
        <v>86</v>
      </c>
      <c r="U28" s="4" t="str">
        <f>IF(Tableau2[[#This Row],[Contact Gestion actif]]="Victor PONTAIS","06 69 21 76 42","06 74 94 09 90")</f>
        <v>06 69 21 76 42</v>
      </c>
      <c r="V28" s="6"/>
      <c r="W28" s="6" t="s">
        <v>48</v>
      </c>
      <c r="X28" s="6"/>
      <c r="Y28" s="19">
        <v>0.97029729115809815</v>
      </c>
      <c r="AA28" s="32"/>
      <c r="AB28" s="32"/>
      <c r="AC28" s="3" t="s">
        <v>57</v>
      </c>
      <c r="AD28" s="3" t="s">
        <v>57</v>
      </c>
      <c r="AE28" s="3" t="s">
        <v>49</v>
      </c>
    </row>
    <row r="29" spans="1:31">
      <c r="A29" s="17">
        <v>86550</v>
      </c>
      <c r="B29" s="4" t="s">
        <v>142</v>
      </c>
      <c r="C29" s="4">
        <v>499.59</v>
      </c>
      <c r="D29" s="4" t="s">
        <v>117</v>
      </c>
      <c r="E29" s="4">
        <v>46.218299999999999</v>
      </c>
      <c r="F29" s="4">
        <v>1.65147</v>
      </c>
      <c r="G29" s="4" t="s">
        <v>143</v>
      </c>
      <c r="H29" s="6">
        <v>23</v>
      </c>
      <c r="I29" s="4" t="s">
        <v>53</v>
      </c>
      <c r="J29" s="4" t="s">
        <v>144</v>
      </c>
      <c r="K29" s="5">
        <v>45684</v>
      </c>
      <c r="L29" s="5">
        <v>45716</v>
      </c>
      <c r="M29" s="4" t="s">
        <v>44</v>
      </c>
      <c r="N29" s="5">
        <v>45769</v>
      </c>
      <c r="O29" s="5">
        <v>45812</v>
      </c>
      <c r="P29" s="4" t="s">
        <v>62</v>
      </c>
      <c r="Q29" s="4" t="s">
        <v>56</v>
      </c>
      <c r="R29" s="4" t="str">
        <f>_xlfn.XLOOKUP(Tableau2[[#This Row],[ID référent]],Feuil4!A:A,Feuil4!BD:BD)</f>
        <v>Parfait MEZEME ONA</v>
      </c>
      <c r="S29" s="4" t="str">
        <f>IF(Tableau2[[#This Row],[Contact Chargé Exploitation]]="Parfait MEZEME ONA","06 63 06 94 73","06 74 09 71 44")</f>
        <v>06 63 06 94 73</v>
      </c>
      <c r="T29" s="4" t="s">
        <v>47</v>
      </c>
      <c r="U29" s="4" t="str">
        <f>IF(Tableau2[[#This Row],[Contact Gestion actif]]="Victor PONTAIS","06 69 21 76 42","06 74 94 09 90")</f>
        <v>06 74 94 09 90</v>
      </c>
      <c r="V29" s="6"/>
      <c r="W29" s="6" t="s">
        <v>48</v>
      </c>
      <c r="X29" s="6"/>
      <c r="Y29" s="19">
        <v>0.97393520894198038</v>
      </c>
      <c r="AA29" s="32"/>
      <c r="AB29" s="32"/>
      <c r="AC29" s="3" t="s">
        <v>57</v>
      </c>
      <c r="AD29" s="3" t="s">
        <v>57</v>
      </c>
      <c r="AE29" s="3" t="s">
        <v>57</v>
      </c>
    </row>
    <row r="30" spans="1:31">
      <c r="A30" s="17">
        <v>90034</v>
      </c>
      <c r="B30" s="4" t="s">
        <v>142</v>
      </c>
      <c r="C30" s="4">
        <v>218.4</v>
      </c>
      <c r="D30" s="4" t="s">
        <v>117</v>
      </c>
      <c r="E30" s="4">
        <v>46.231630000000003</v>
      </c>
      <c r="F30" s="4">
        <v>1.5277499999999999</v>
      </c>
      <c r="G30" s="4" t="s">
        <v>145</v>
      </c>
      <c r="H30" s="6">
        <v>23</v>
      </c>
      <c r="I30" s="4" t="s">
        <v>53</v>
      </c>
      <c r="J30" s="4" t="s">
        <v>144</v>
      </c>
      <c r="K30" s="5">
        <v>45705</v>
      </c>
      <c r="L30" s="5">
        <v>45716</v>
      </c>
      <c r="M30" s="4" t="s">
        <v>44</v>
      </c>
      <c r="N30" s="5">
        <v>45769</v>
      </c>
      <c r="O30" s="5">
        <v>45812</v>
      </c>
      <c r="P30" s="4" t="s">
        <v>62</v>
      </c>
      <c r="Q30" s="4" t="s">
        <v>63</v>
      </c>
      <c r="R30" s="4" t="str">
        <f>_xlfn.XLOOKUP(Tableau2[[#This Row],[ID référent]],Feuil4!A:A,Feuil4!BD:BD)</f>
        <v>Parfait MEZEME ONA</v>
      </c>
      <c r="S30" s="4" t="str">
        <f>IF(Tableau2[[#This Row],[Contact Chargé Exploitation]]="Parfait MEZEME ONA","06 63 06 94 73","06 74 09 71 44")</f>
        <v>06 63 06 94 73</v>
      </c>
      <c r="T30" s="4" t="s">
        <v>47</v>
      </c>
      <c r="U30" s="4" t="str">
        <f>IF(Tableau2[[#This Row],[Contact Gestion actif]]="Victor PONTAIS","06 69 21 76 42","06 74 94 09 90")</f>
        <v>06 74 94 09 90</v>
      </c>
      <c r="V30" s="6"/>
      <c r="W30" s="6" t="s">
        <v>48</v>
      </c>
      <c r="X30" s="6"/>
      <c r="Y30" s="19">
        <v>1.0085301175245744</v>
      </c>
      <c r="AA30" s="32"/>
      <c r="AB30" s="32"/>
      <c r="AC30" s="3" t="s">
        <v>57</v>
      </c>
      <c r="AD30" s="3" t="s">
        <v>57</v>
      </c>
      <c r="AE30" s="3" t="s">
        <v>57</v>
      </c>
    </row>
    <row r="31" spans="1:31">
      <c r="A31" s="17">
        <v>90189</v>
      </c>
      <c r="B31" s="4" t="s">
        <v>146</v>
      </c>
      <c r="C31" s="4">
        <v>499.59</v>
      </c>
      <c r="D31" s="4" t="s">
        <v>51</v>
      </c>
      <c r="E31" s="4">
        <v>45.197090000000003</v>
      </c>
      <c r="F31" s="4">
        <v>4.66906</v>
      </c>
      <c r="G31" s="4" t="s">
        <v>147</v>
      </c>
      <c r="H31" s="6">
        <v>7</v>
      </c>
      <c r="I31" s="4" t="s">
        <v>53</v>
      </c>
      <c r="J31" s="4" t="s">
        <v>139</v>
      </c>
      <c r="K31" s="5">
        <v>45726</v>
      </c>
      <c r="L31" s="5">
        <v>45758</v>
      </c>
      <c r="M31" s="4" t="s">
        <v>44</v>
      </c>
      <c r="N31" s="5">
        <v>45758</v>
      </c>
      <c r="O31" s="5">
        <v>45831</v>
      </c>
      <c r="P31" s="4" t="s">
        <v>62</v>
      </c>
      <c r="Q31" s="4" t="s">
        <v>56</v>
      </c>
      <c r="R31" s="4" t="str">
        <f>_xlfn.XLOOKUP(Tableau2[[#This Row],[ID référent]],Feuil4!A:A,Feuil4!BD:BD)</f>
        <v>Yasser BADREZZAMANE</v>
      </c>
      <c r="S31" s="4" t="str">
        <f>IF(Tableau2[[#This Row],[Contact Chargé Exploitation]]="Parfait MEZEME ONA","06 63 06 94 73","06 74 09 71 44")</f>
        <v>06 74 09 71 44</v>
      </c>
      <c r="T31" s="4" t="s">
        <v>47</v>
      </c>
      <c r="U31" s="4" t="str">
        <f>IF(Tableau2[[#This Row],[Contact Gestion actif]]="Victor PONTAIS","06 69 21 76 42","06 74 94 09 90")</f>
        <v>06 74 94 09 90</v>
      </c>
      <c r="V31" s="6"/>
      <c r="W31" s="6" t="s">
        <v>48</v>
      </c>
      <c r="X31" s="6"/>
      <c r="Y31" s="19">
        <v>1.0337698674001394</v>
      </c>
      <c r="AA31" s="32"/>
      <c r="AB31" s="32"/>
      <c r="AC31" s="3" t="s">
        <v>57</v>
      </c>
      <c r="AD31" s="3" t="s">
        <v>57</v>
      </c>
      <c r="AE31" s="3" t="s">
        <v>49</v>
      </c>
    </row>
    <row r="32" spans="1:31">
      <c r="A32" s="17">
        <v>99373</v>
      </c>
      <c r="B32" s="4" t="s">
        <v>148</v>
      </c>
      <c r="C32" s="4">
        <v>331.24</v>
      </c>
      <c r="D32" s="4" t="s">
        <v>149</v>
      </c>
      <c r="E32" s="4">
        <v>43.04786</v>
      </c>
      <c r="F32" s="4">
        <v>0.85301000000000005</v>
      </c>
      <c r="G32" s="4" t="s">
        <v>150</v>
      </c>
      <c r="H32" s="6">
        <v>31</v>
      </c>
      <c r="I32" s="4" t="s">
        <v>53</v>
      </c>
      <c r="J32" s="4" t="s">
        <v>139</v>
      </c>
      <c r="K32" s="5">
        <v>45733</v>
      </c>
      <c r="L32" s="5">
        <v>45761</v>
      </c>
      <c r="M32" s="4" t="s">
        <v>61</v>
      </c>
      <c r="N32" s="5">
        <v>45775</v>
      </c>
      <c r="O32" s="5">
        <v>45800</v>
      </c>
      <c r="P32" s="4" t="s">
        <v>62</v>
      </c>
      <c r="Q32" s="4" t="s">
        <v>63</v>
      </c>
      <c r="R32" s="4" t="str">
        <f>_xlfn.XLOOKUP(Tableau2[[#This Row],[ID référent]],Feuil4!A:A,Feuil4!BD:BD)</f>
        <v>Parfait MEZEME ONA</v>
      </c>
      <c r="S32" s="4" t="str">
        <f>IF(Tableau2[[#This Row],[Contact Chargé Exploitation]]="Parfait MEZEME ONA","06 63 06 94 73","06 74 09 71 44")</f>
        <v>06 63 06 94 73</v>
      </c>
      <c r="T32" s="4" t="s">
        <v>47</v>
      </c>
      <c r="U32" s="4" t="str">
        <f>IF(Tableau2[[#This Row],[Contact Gestion actif]]="Victor PONTAIS","06 69 21 76 42","06 74 94 09 90")</f>
        <v>06 74 94 09 90</v>
      </c>
      <c r="V32" s="6"/>
      <c r="W32" s="6" t="s">
        <v>48</v>
      </c>
      <c r="X32" s="6"/>
      <c r="Y32" s="19">
        <v>1.1032093036843351</v>
      </c>
      <c r="AA32" s="32"/>
      <c r="AB32" s="32"/>
      <c r="AC32" s="3" t="s">
        <v>57</v>
      </c>
      <c r="AD32" s="3" t="s">
        <v>57</v>
      </c>
      <c r="AE32" s="3" t="s">
        <v>49</v>
      </c>
    </row>
    <row r="33" spans="1:31">
      <c r="A33" s="17">
        <v>3384</v>
      </c>
      <c r="B33" s="4" t="s">
        <v>151</v>
      </c>
      <c r="C33" s="4">
        <v>118.37</v>
      </c>
      <c r="D33" s="4" t="s">
        <v>125</v>
      </c>
      <c r="E33" s="4">
        <v>47.327959999999997</v>
      </c>
      <c r="F33" s="4">
        <v>0.70111999999999997</v>
      </c>
      <c r="G33" s="4" t="s">
        <v>152</v>
      </c>
      <c r="H33" s="6">
        <v>37</v>
      </c>
      <c r="I33" s="4" t="s">
        <v>122</v>
      </c>
      <c r="J33" s="4" t="s">
        <v>119</v>
      </c>
      <c r="K33" s="5">
        <v>45614</v>
      </c>
      <c r="L33" s="5">
        <v>45744</v>
      </c>
      <c r="M33" s="4" t="s">
        <v>44</v>
      </c>
      <c r="N33" s="5">
        <v>45771</v>
      </c>
      <c r="O33" s="5">
        <v>45832</v>
      </c>
      <c r="P33" s="4" t="s">
        <v>153</v>
      </c>
      <c r="Q33" s="4" t="s">
        <v>81</v>
      </c>
      <c r="R33" s="4" t="str">
        <f>_xlfn.XLOOKUP(Tableau2[[#This Row],[ID référent]],Feuil4!A:A,Feuil4!BD:BD)</f>
        <v>Yasser BADREZZAMANE</v>
      </c>
      <c r="S33" s="4" t="str">
        <f>IF(Tableau2[[#This Row],[Contact Chargé Exploitation]]="Parfait MEZEME ONA","06 63 06 94 73","06 74 09 71 44")</f>
        <v>06 74 09 71 44</v>
      </c>
      <c r="T33" s="4" t="s">
        <v>86</v>
      </c>
      <c r="U33" s="4" t="str">
        <f>IF(Tableau2[[#This Row],[Contact Gestion actif]]="Victor PONTAIS","06 69 21 76 42","06 74 94 09 90")</f>
        <v>06 69 21 76 42</v>
      </c>
      <c r="V33" s="6"/>
      <c r="W33" s="6" t="s">
        <v>48</v>
      </c>
      <c r="X33" s="6"/>
      <c r="Y33" s="19">
        <v>0.96714354684332848</v>
      </c>
      <c r="AA33" s="32"/>
      <c r="AB33" s="32"/>
      <c r="AC33" s="3" t="s">
        <v>57</v>
      </c>
      <c r="AD33" s="3" t="s">
        <v>57</v>
      </c>
      <c r="AE33" s="3" t="s">
        <v>49</v>
      </c>
    </row>
    <row r="34" spans="1:31">
      <c r="A34" s="17">
        <v>35280</v>
      </c>
      <c r="B34" s="4" t="s">
        <v>154</v>
      </c>
      <c r="C34" s="4">
        <v>159.25</v>
      </c>
      <c r="D34" s="4" t="s">
        <v>155</v>
      </c>
      <c r="E34" s="4">
        <v>44.360590000000002</v>
      </c>
      <c r="F34" s="4">
        <v>5.0761900000000004</v>
      </c>
      <c r="G34" s="4" t="s">
        <v>156</v>
      </c>
      <c r="H34" s="6">
        <v>26</v>
      </c>
      <c r="I34" s="4" t="s">
        <v>53</v>
      </c>
      <c r="J34" s="4" t="s">
        <v>139</v>
      </c>
      <c r="K34" s="5">
        <v>45775</v>
      </c>
      <c r="L34" s="5">
        <v>45789</v>
      </c>
      <c r="M34" s="4" t="s">
        <v>44</v>
      </c>
      <c r="N34" s="5">
        <v>45802</v>
      </c>
      <c r="O34" s="5">
        <v>45838</v>
      </c>
      <c r="P34" s="4" t="s">
        <v>62</v>
      </c>
      <c r="Q34" s="4" t="s">
        <v>63</v>
      </c>
      <c r="R34" s="4" t="str">
        <f>_xlfn.XLOOKUP(Tableau2[[#This Row],[ID référent]],Feuil4!A:A,Feuil4!BD:BD)</f>
        <v>Yasser BADREZZAMANE</v>
      </c>
      <c r="S34" s="4" t="str">
        <f>IF(Tableau2[[#This Row],[Contact Chargé Exploitation]]="Parfait MEZEME ONA","06 63 06 94 73","06 74 09 71 44")</f>
        <v>06 74 09 71 44</v>
      </c>
      <c r="T34" s="4" t="s">
        <v>86</v>
      </c>
      <c r="U34" s="4" t="str">
        <f>IF(Tableau2[[#This Row],[Contact Gestion actif]]="Victor PONTAIS","06 69 21 76 42","06 74 94 09 90")</f>
        <v>06 69 21 76 42</v>
      </c>
      <c r="V34" s="6"/>
      <c r="W34" s="6" t="s">
        <v>48</v>
      </c>
      <c r="X34" s="6"/>
      <c r="Y34" s="19">
        <v>0.94566270575620082</v>
      </c>
      <c r="AA34" s="32"/>
      <c r="AB34" s="32"/>
      <c r="AC34" s="3" t="s">
        <v>57</v>
      </c>
      <c r="AD34" s="3" t="s">
        <v>57</v>
      </c>
      <c r="AE34" s="3" t="s">
        <v>49</v>
      </c>
    </row>
    <row r="35" spans="1:31">
      <c r="A35" s="17">
        <v>3334</v>
      </c>
      <c r="B35" s="4" t="s">
        <v>157</v>
      </c>
      <c r="C35" s="4">
        <v>218.4</v>
      </c>
      <c r="D35" s="4" t="s">
        <v>149</v>
      </c>
      <c r="E35" s="4">
        <v>43.249890000000001</v>
      </c>
      <c r="F35" s="4">
        <v>2.6411699999999998</v>
      </c>
      <c r="G35" s="4" t="s">
        <v>158</v>
      </c>
      <c r="H35" s="6">
        <v>11</v>
      </c>
      <c r="I35" s="4" t="s">
        <v>53</v>
      </c>
      <c r="J35" s="4" t="s">
        <v>139</v>
      </c>
      <c r="K35" s="5">
        <v>45789</v>
      </c>
      <c r="L35" s="5">
        <v>45803</v>
      </c>
      <c r="M35" s="4" t="s">
        <v>61</v>
      </c>
      <c r="N35" s="5">
        <v>45819</v>
      </c>
      <c r="O35" s="5">
        <v>45838</v>
      </c>
      <c r="P35" s="4" t="s">
        <v>62</v>
      </c>
      <c r="Q35" s="4" t="s">
        <v>63</v>
      </c>
      <c r="R35" s="4" t="str">
        <f>_xlfn.XLOOKUP(Tableau2[[#This Row],[ID référent]],Feuil4!A:A,Feuil4!BD:BD)</f>
        <v>Yasser BADREZZAMANE</v>
      </c>
      <c r="S35" s="4" t="str">
        <f>IF(Tableau2[[#This Row],[Contact Chargé Exploitation]]="Parfait MEZEME ONA","06 63 06 94 73","06 74 09 71 44")</f>
        <v>06 74 09 71 44</v>
      </c>
      <c r="T35" s="4" t="s">
        <v>47</v>
      </c>
      <c r="U35" s="4" t="str">
        <f>IF(Tableau2[[#This Row],[Contact Gestion actif]]="Victor PONTAIS","06 69 21 76 42","06 74 94 09 90")</f>
        <v>06 74 94 09 90</v>
      </c>
      <c r="V35" s="6"/>
      <c r="W35" s="6" t="s">
        <v>48</v>
      </c>
      <c r="X35" s="6"/>
      <c r="Y35" s="19">
        <v>0.8672242920468195</v>
      </c>
      <c r="Z35" s="20" t="s">
        <v>159</v>
      </c>
      <c r="AA35" s="32"/>
      <c r="AB35" s="32"/>
      <c r="AC35" s="3" t="s">
        <v>57</v>
      </c>
      <c r="AD35" s="3" t="s">
        <v>57</v>
      </c>
      <c r="AE35" s="3" t="s">
        <v>49</v>
      </c>
    </row>
    <row r="36" spans="1:31">
      <c r="A36" s="17">
        <v>82721</v>
      </c>
      <c r="B36" s="4" t="s">
        <v>160</v>
      </c>
      <c r="C36" s="4">
        <v>499.59</v>
      </c>
      <c r="D36" s="4" t="s">
        <v>59</v>
      </c>
      <c r="E36" s="4">
        <v>47.354999999999997</v>
      </c>
      <c r="F36" s="4">
        <v>-1.83701</v>
      </c>
      <c r="G36" s="4" t="s">
        <v>161</v>
      </c>
      <c r="H36" s="6">
        <v>44</v>
      </c>
      <c r="I36" s="4" t="s">
        <v>79</v>
      </c>
      <c r="J36" s="4" t="s">
        <v>113</v>
      </c>
      <c r="K36" s="5">
        <v>45748</v>
      </c>
      <c r="L36" s="5">
        <v>45775</v>
      </c>
      <c r="M36" s="4" t="s">
        <v>44</v>
      </c>
      <c r="N36" s="5">
        <v>45793</v>
      </c>
      <c r="O36" s="5">
        <v>45856</v>
      </c>
      <c r="P36" s="4" t="s">
        <v>62</v>
      </c>
      <c r="Q36" s="4" t="s">
        <v>63</v>
      </c>
      <c r="R36" s="4" t="str">
        <f>_xlfn.XLOOKUP(Tableau2[[#This Row],[ID référent]],Feuil4!A:A,Feuil4!BD:BD)</f>
        <v>Parfait MEZEME ONA</v>
      </c>
      <c r="S36" s="4" t="str">
        <f>IF(Tableau2[[#This Row],[Contact Chargé Exploitation]]="Parfait MEZEME ONA","06 63 06 94 73","06 74 09 71 44")</f>
        <v>06 63 06 94 73</v>
      </c>
      <c r="T36" s="4" t="s">
        <v>47</v>
      </c>
      <c r="U36" s="4" t="str">
        <f>IF(Tableau2[[#This Row],[Contact Gestion actif]]="Victor PONTAIS","06 69 21 76 42","06 74 94 09 90")</f>
        <v>06 74 94 09 90</v>
      </c>
      <c r="V36" s="6"/>
      <c r="W36" s="6" t="s">
        <v>48</v>
      </c>
      <c r="X36" s="6"/>
      <c r="Y36" s="19">
        <v>1.0196578704482331</v>
      </c>
      <c r="AA36" s="32"/>
      <c r="AB36" s="32"/>
      <c r="AC36" s="3" t="s">
        <v>57</v>
      </c>
      <c r="AD36" s="3" t="s">
        <v>57</v>
      </c>
      <c r="AE36" s="3" t="s">
        <v>49</v>
      </c>
    </row>
    <row r="37" spans="1:31">
      <c r="A37" s="17">
        <v>95919</v>
      </c>
      <c r="B37" s="4" t="s">
        <v>137</v>
      </c>
      <c r="C37" s="4">
        <v>268.64999999999998</v>
      </c>
      <c r="D37" s="4" t="s">
        <v>59</v>
      </c>
      <c r="E37" s="4">
        <v>43.043895999999997</v>
      </c>
      <c r="F37" s="4">
        <v>0.85996099999999998</v>
      </c>
      <c r="G37" s="4" t="s">
        <v>162</v>
      </c>
      <c r="H37" s="6">
        <v>31</v>
      </c>
      <c r="I37" s="4" t="s">
        <v>67</v>
      </c>
      <c r="J37" s="4" t="s">
        <v>108</v>
      </c>
      <c r="K37" s="5">
        <v>45769</v>
      </c>
      <c r="L37" s="5">
        <v>45785</v>
      </c>
      <c r="M37" s="4" t="s">
        <v>61</v>
      </c>
      <c r="N37" s="5">
        <v>45750</v>
      </c>
      <c r="O37" s="5">
        <v>45803</v>
      </c>
      <c r="P37" s="4" t="s">
        <v>62</v>
      </c>
      <c r="Q37" s="4" t="s">
        <v>56</v>
      </c>
      <c r="R37" s="4" t="str">
        <f>_xlfn.XLOOKUP(Tableau2[[#This Row],[ID référent]],Feuil4!A:A,Feuil4!BD:BD)</f>
        <v>Yasser BADREZZAMANE</v>
      </c>
      <c r="S37" s="4" t="str">
        <f>IF(Tableau2[[#This Row],[Contact Chargé Exploitation]]="Parfait MEZEME ONA","06 63 06 94 73","06 74 09 71 44")</f>
        <v>06 74 09 71 44</v>
      </c>
      <c r="T37" s="4" t="s">
        <v>47</v>
      </c>
      <c r="U37" s="4" t="str">
        <f>IF(Tableau2[[#This Row],[Contact Gestion actif]]="Victor PONTAIS","06 69 21 76 42","06 74 94 09 90")</f>
        <v>06 74 94 09 90</v>
      </c>
      <c r="V37" s="6" t="s">
        <v>48</v>
      </c>
      <c r="W37" s="6" t="s">
        <v>48</v>
      </c>
      <c r="X37" s="6"/>
      <c r="Y37" s="19">
        <v>0.94721198567672271</v>
      </c>
      <c r="AA37" s="32"/>
      <c r="AB37" s="32"/>
      <c r="AC37" s="3" t="s">
        <v>49</v>
      </c>
      <c r="AD37" s="3" t="s">
        <v>49</v>
      </c>
      <c r="AE37" s="3" t="s">
        <v>49</v>
      </c>
    </row>
    <row r="38" spans="1:31">
      <c r="A38" s="17">
        <v>32074</v>
      </c>
      <c r="B38" s="4" t="s">
        <v>163</v>
      </c>
      <c r="C38" s="4">
        <v>499.59</v>
      </c>
      <c r="D38" s="4" t="s">
        <v>51</v>
      </c>
      <c r="E38" s="4">
        <v>44.841589999999997</v>
      </c>
      <c r="F38" s="4">
        <v>4.9611799999999997</v>
      </c>
      <c r="G38" s="4" t="s">
        <v>164</v>
      </c>
      <c r="H38" s="6">
        <v>26</v>
      </c>
      <c r="I38" s="4" t="s">
        <v>53</v>
      </c>
      <c r="J38" s="4" t="s">
        <v>139</v>
      </c>
      <c r="K38" s="5">
        <v>45789</v>
      </c>
      <c r="L38" s="5">
        <v>45817</v>
      </c>
      <c r="M38" s="4" t="s">
        <v>44</v>
      </c>
      <c r="N38" s="5">
        <v>45831</v>
      </c>
      <c r="O38" s="5">
        <v>45862</v>
      </c>
      <c r="P38" s="4" t="s">
        <v>62</v>
      </c>
      <c r="Q38" s="4" t="s">
        <v>56</v>
      </c>
      <c r="R38" s="4" t="str">
        <f>_xlfn.XLOOKUP(Tableau2[[#This Row],[ID référent]],Feuil4!A:A,Feuil4!BD:BD)</f>
        <v>Yasser BADREZZAMANE</v>
      </c>
      <c r="S38" s="4" t="str">
        <f>IF(Tableau2[[#This Row],[Contact Chargé Exploitation]]="Parfait MEZEME ONA","06 63 06 94 73","06 74 09 71 44")</f>
        <v>06 74 09 71 44</v>
      </c>
      <c r="T38" s="4" t="s">
        <v>47</v>
      </c>
      <c r="U38" s="4" t="str">
        <f>IF(Tableau2[[#This Row],[Contact Gestion actif]]="Victor PONTAIS","06 69 21 76 42","06 74 94 09 90")</f>
        <v>06 74 94 09 90</v>
      </c>
      <c r="V38" s="6" t="s">
        <v>48</v>
      </c>
      <c r="W38" s="6" t="s">
        <v>48</v>
      </c>
      <c r="X38" s="6"/>
      <c r="Y38" s="19">
        <v>0.95201209289020039</v>
      </c>
      <c r="AA38" s="32"/>
      <c r="AB38" s="32"/>
      <c r="AC38" s="3" t="s">
        <v>57</v>
      </c>
      <c r="AD38" s="3" t="s">
        <v>57</v>
      </c>
      <c r="AE38" s="3" t="s">
        <v>49</v>
      </c>
    </row>
    <row r="39" spans="1:31">
      <c r="A39" s="17">
        <v>95309</v>
      </c>
      <c r="B39" s="4" t="s">
        <v>165</v>
      </c>
      <c r="C39" s="4">
        <v>324.87</v>
      </c>
      <c r="D39" s="4" t="s">
        <v>117</v>
      </c>
      <c r="E39" s="4">
        <v>46.604460000000003</v>
      </c>
      <c r="F39" s="4">
        <v>3.6190699999999998</v>
      </c>
      <c r="G39" s="4" t="s">
        <v>166</v>
      </c>
      <c r="H39" s="6">
        <v>3</v>
      </c>
      <c r="I39" s="4" t="s">
        <v>79</v>
      </c>
      <c r="J39" s="4" t="s">
        <v>68</v>
      </c>
      <c r="K39" s="5">
        <v>45803</v>
      </c>
      <c r="L39" s="5">
        <v>45818</v>
      </c>
      <c r="M39" s="4" t="s">
        <v>44</v>
      </c>
      <c r="N39" s="5">
        <v>45821</v>
      </c>
      <c r="O39" s="5">
        <v>45863</v>
      </c>
      <c r="P39" s="4" t="s">
        <v>62</v>
      </c>
      <c r="Q39" s="4" t="s">
        <v>56</v>
      </c>
      <c r="R39" s="4" t="str">
        <f>_xlfn.XLOOKUP(Tableau2[[#This Row],[ID référent]],Feuil4!A:A,Feuil4!BD:BD)</f>
        <v>Yasser BADREZZAMANE</v>
      </c>
      <c r="S39" s="4" t="str">
        <f>IF(Tableau2[[#This Row],[Contact Chargé Exploitation]]="Parfait MEZEME ONA","06 63 06 94 73","06 74 09 71 44")</f>
        <v>06 74 09 71 44</v>
      </c>
      <c r="T39" s="4" t="s">
        <v>47</v>
      </c>
      <c r="U39" s="4" t="str">
        <f>IF(Tableau2[[#This Row],[Contact Gestion actif]]="Victor PONTAIS","06 69 21 76 42","06 74 94 09 90")</f>
        <v>06 74 94 09 90</v>
      </c>
      <c r="V39" s="6"/>
      <c r="W39" s="6" t="s">
        <v>48</v>
      </c>
      <c r="X39" s="6"/>
      <c r="Y39" s="19">
        <v>1.3386520528074426</v>
      </c>
      <c r="AA39" s="32"/>
      <c r="AB39" s="32"/>
      <c r="AC39" s="3" t="s">
        <v>57</v>
      </c>
      <c r="AD39" s="3" t="s">
        <v>57</v>
      </c>
      <c r="AE39" s="3" t="s">
        <v>49</v>
      </c>
    </row>
    <row r="40" spans="1:31">
      <c r="A40" s="17">
        <v>30516</v>
      </c>
      <c r="B40" s="4" t="s">
        <v>167</v>
      </c>
      <c r="C40" s="4">
        <v>343.07</v>
      </c>
      <c r="D40" s="4" t="s">
        <v>51</v>
      </c>
      <c r="E40" s="4">
        <v>45.732469999999999</v>
      </c>
      <c r="F40" s="4">
        <v>4.2053000000000003</v>
      </c>
      <c r="G40" s="4" t="s">
        <v>168</v>
      </c>
      <c r="H40" s="6">
        <v>42</v>
      </c>
      <c r="I40" s="4" t="s">
        <v>53</v>
      </c>
      <c r="J40" s="4" t="s">
        <v>68</v>
      </c>
      <c r="K40" s="5">
        <v>45712</v>
      </c>
      <c r="L40" s="5">
        <v>45819</v>
      </c>
      <c r="M40" s="4" t="s">
        <v>44</v>
      </c>
      <c r="N40" s="5">
        <v>45825</v>
      </c>
      <c r="O40" s="5">
        <v>45854</v>
      </c>
      <c r="P40" s="4" t="s">
        <v>62</v>
      </c>
      <c r="Q40" s="4" t="s">
        <v>63</v>
      </c>
      <c r="R40" s="4" t="str">
        <f>_xlfn.XLOOKUP(Tableau2[[#This Row],[ID référent]],Feuil4!A:A,Feuil4!BD:BD)</f>
        <v>Yasser BADREZZAMANE</v>
      </c>
      <c r="S40" s="4" t="str">
        <f>IF(Tableau2[[#This Row],[Contact Chargé Exploitation]]="Parfait MEZEME ONA","06 63 06 94 73","06 74 09 71 44")</f>
        <v>06 74 09 71 44</v>
      </c>
      <c r="T40" s="4" t="s">
        <v>47</v>
      </c>
      <c r="U40" s="4" t="str">
        <f>IF(Tableau2[[#This Row],[Contact Gestion actif]]="Victor PONTAIS","06 69 21 76 42","06 74 94 09 90")</f>
        <v>06 74 94 09 90</v>
      </c>
      <c r="V40" s="6" t="s">
        <v>48</v>
      </c>
      <c r="W40" s="6" t="s">
        <v>48</v>
      </c>
      <c r="X40" s="6"/>
      <c r="Y40" s="19">
        <v>0.99477331867091079</v>
      </c>
      <c r="AA40" s="32"/>
      <c r="AB40" s="32"/>
      <c r="AC40" s="3" t="s">
        <v>57</v>
      </c>
      <c r="AD40" s="3" t="s">
        <v>57</v>
      </c>
      <c r="AE40" s="3" t="s">
        <v>49</v>
      </c>
    </row>
    <row r="41" spans="1:31">
      <c r="A41" s="17">
        <v>49814</v>
      </c>
      <c r="B41" s="4" t="s">
        <v>169</v>
      </c>
      <c r="C41" s="4">
        <v>211.57499999999999</v>
      </c>
      <c r="D41" s="4" t="s">
        <v>117</v>
      </c>
      <c r="E41" s="4">
        <v>47.46443</v>
      </c>
      <c r="F41" s="4">
        <v>-1.40235</v>
      </c>
      <c r="G41" s="4" t="s">
        <v>170</v>
      </c>
      <c r="H41" s="6">
        <v>44</v>
      </c>
      <c r="I41" s="4" t="s">
        <v>96</v>
      </c>
      <c r="J41" s="4" t="s">
        <v>113</v>
      </c>
      <c r="K41" s="5">
        <v>45803</v>
      </c>
      <c r="L41" s="5">
        <v>45812</v>
      </c>
      <c r="M41" s="4" t="s">
        <v>44</v>
      </c>
      <c r="N41" s="5">
        <v>45833</v>
      </c>
      <c r="O41" s="5">
        <v>45866</v>
      </c>
      <c r="P41" s="4" t="s">
        <v>62</v>
      </c>
      <c r="Q41" s="4" t="s">
        <v>56</v>
      </c>
      <c r="R41" s="4" t="str">
        <f>_xlfn.XLOOKUP(Tableau2[[#This Row],[ID référent]],Feuil4!A:A,Feuil4!BD:BD)</f>
        <v>Yasser BADREZZAMANE</v>
      </c>
      <c r="S41" s="4" t="str">
        <f>IF(Tableau2[[#This Row],[Contact Chargé Exploitation]]="Parfait MEZEME ONA","06 63 06 94 73","06 74 09 71 44")</f>
        <v>06 74 09 71 44</v>
      </c>
      <c r="T41" s="4" t="s">
        <v>47</v>
      </c>
      <c r="U41" s="4" t="str">
        <f>IF(Tableau2[[#This Row],[Contact Gestion actif]]="Victor PONTAIS","06 69 21 76 42","06 74 94 09 90")</f>
        <v>06 74 94 09 90</v>
      </c>
      <c r="V41" s="6" t="s">
        <v>48</v>
      </c>
      <c r="W41" s="6" t="s">
        <v>48</v>
      </c>
      <c r="X41" s="6"/>
      <c r="Y41" s="19">
        <v>0.55276302307796166</v>
      </c>
      <c r="Z41" s="20" t="s">
        <v>171</v>
      </c>
      <c r="AA41" s="32"/>
      <c r="AB41" s="32"/>
      <c r="AC41" s="3" t="s">
        <v>57</v>
      </c>
      <c r="AD41" s="3" t="s">
        <v>57</v>
      </c>
      <c r="AE41" s="3" t="s">
        <v>49</v>
      </c>
    </row>
    <row r="42" spans="1:31">
      <c r="A42" s="17">
        <v>61191</v>
      </c>
      <c r="B42" s="4" t="s">
        <v>133</v>
      </c>
      <c r="C42" s="4">
        <v>260.26</v>
      </c>
      <c r="D42" s="4" t="s">
        <v>51</v>
      </c>
      <c r="E42" s="4">
        <v>46.694240000000001</v>
      </c>
      <c r="F42" s="4">
        <v>4.1036400000000004</v>
      </c>
      <c r="G42" s="4" t="s">
        <v>172</v>
      </c>
      <c r="H42" s="6">
        <v>71</v>
      </c>
      <c r="I42" s="4" t="s">
        <v>53</v>
      </c>
      <c r="J42" s="4" t="s">
        <v>68</v>
      </c>
      <c r="K42" s="5">
        <v>45803</v>
      </c>
      <c r="L42" s="5">
        <v>45821</v>
      </c>
      <c r="M42" s="4" t="s">
        <v>44</v>
      </c>
      <c r="N42" s="5">
        <v>45842</v>
      </c>
      <c r="O42" s="5">
        <v>45868</v>
      </c>
      <c r="P42" s="4" t="s">
        <v>62</v>
      </c>
      <c r="Q42" s="4" t="s">
        <v>63</v>
      </c>
      <c r="R42" s="4" t="str">
        <f>_xlfn.XLOOKUP(Tableau2[[#This Row],[ID référent]],Feuil4!A:A,Feuil4!BD:BD)</f>
        <v>Yasser BADREZZAMANE</v>
      </c>
      <c r="S42" s="4" t="str">
        <f>IF(Tableau2[[#This Row],[Contact Chargé Exploitation]]="Parfait MEZEME ONA","06 63 06 94 73","06 74 09 71 44")</f>
        <v>06 74 09 71 44</v>
      </c>
      <c r="T42" s="4" t="s">
        <v>47</v>
      </c>
      <c r="U42" s="4" t="str">
        <f>IF(Tableau2[[#This Row],[Contact Gestion actif]]="Victor PONTAIS","06 69 21 76 42","06 74 94 09 90")</f>
        <v>06 74 94 09 90</v>
      </c>
      <c r="V42" s="6"/>
      <c r="W42" s="6" t="s">
        <v>48</v>
      </c>
      <c r="X42" s="6"/>
      <c r="Y42" s="19">
        <v>0.9932334976306082</v>
      </c>
      <c r="AA42" s="32"/>
      <c r="AB42" s="32"/>
      <c r="AC42" s="3" t="s">
        <v>57</v>
      </c>
      <c r="AD42" s="3" t="s">
        <v>57</v>
      </c>
      <c r="AE42" s="3" t="s">
        <v>49</v>
      </c>
    </row>
    <row r="43" spans="1:31">
      <c r="A43" s="17">
        <v>3251</v>
      </c>
      <c r="B43" s="4" t="s">
        <v>173</v>
      </c>
      <c r="C43" s="4">
        <v>109.2</v>
      </c>
      <c r="D43" s="4" t="s">
        <v>59</v>
      </c>
      <c r="E43" s="4">
        <v>44.815159999999999</v>
      </c>
      <c r="F43" s="4">
        <v>4.7892200000000003</v>
      </c>
      <c r="G43" s="4" t="s">
        <v>174</v>
      </c>
      <c r="H43" s="6">
        <v>7</v>
      </c>
      <c r="I43" s="4" t="s">
        <v>67</v>
      </c>
      <c r="J43" s="4" t="s">
        <v>108</v>
      </c>
      <c r="K43" s="5">
        <v>45789</v>
      </c>
      <c r="L43" s="5">
        <v>45807</v>
      </c>
      <c r="M43" s="4" t="s">
        <v>44</v>
      </c>
      <c r="N43" s="5">
        <v>45827</v>
      </c>
      <c r="O43" s="5">
        <v>45873</v>
      </c>
      <c r="P43" s="4" t="s">
        <v>62</v>
      </c>
      <c r="Q43" s="4" t="s">
        <v>56</v>
      </c>
      <c r="R43" s="4" t="str">
        <f>_xlfn.XLOOKUP(Tableau2[[#This Row],[ID référent]],Feuil4!A:A,Feuil4!BD:BD)</f>
        <v>Yasser BADREZZAMANE</v>
      </c>
      <c r="S43" s="4" t="str">
        <f>IF(Tableau2[[#This Row],[Contact Chargé Exploitation]]="Parfait MEZEME ONA","06 63 06 94 73","06 74 09 71 44")</f>
        <v>06 74 09 71 44</v>
      </c>
      <c r="T43" s="4" t="s">
        <v>47</v>
      </c>
      <c r="U43" s="4" t="str">
        <f>IF(Tableau2[[#This Row],[Contact Gestion actif]]="Victor PONTAIS","06 69 21 76 42","06 74 94 09 90")</f>
        <v>06 74 94 09 90</v>
      </c>
      <c r="V43" s="6"/>
      <c r="W43" s="6" t="s">
        <v>48</v>
      </c>
      <c r="X43" s="6" t="s">
        <v>48</v>
      </c>
      <c r="Y43" s="19">
        <v>0.85059905223451515</v>
      </c>
      <c r="AA43" s="32"/>
      <c r="AB43" s="32"/>
      <c r="AC43" s="3" t="s">
        <v>57</v>
      </c>
      <c r="AD43" s="3" t="s">
        <v>57</v>
      </c>
      <c r="AE43" s="3" t="s">
        <v>49</v>
      </c>
    </row>
    <row r="44" spans="1:31">
      <c r="A44" s="17">
        <v>96147</v>
      </c>
      <c r="B44" s="4" t="s">
        <v>175</v>
      </c>
      <c r="C44" s="4">
        <v>388.04</v>
      </c>
      <c r="D44" s="4" t="s">
        <v>59</v>
      </c>
      <c r="E44" s="4">
        <v>44.892249999999997</v>
      </c>
      <c r="F44" s="4">
        <v>4.8749200000000004</v>
      </c>
      <c r="G44" s="4" t="s">
        <v>176</v>
      </c>
      <c r="H44" s="6">
        <v>26</v>
      </c>
      <c r="I44" s="4" t="s">
        <v>53</v>
      </c>
      <c r="J44" s="4" t="s">
        <v>177</v>
      </c>
      <c r="K44" s="5">
        <v>45789</v>
      </c>
      <c r="L44" s="5">
        <v>45817</v>
      </c>
      <c r="M44" s="4" t="s">
        <v>44</v>
      </c>
      <c r="N44" s="5">
        <v>45827</v>
      </c>
      <c r="O44" s="5">
        <v>45859</v>
      </c>
      <c r="P44" s="4" t="s">
        <v>62</v>
      </c>
      <c r="Q44" s="4" t="s">
        <v>85</v>
      </c>
      <c r="R44" s="4" t="str">
        <f>_xlfn.XLOOKUP(Tableau2[[#This Row],[ID référent]],Feuil4!A:A,Feuil4!BD:BD)</f>
        <v>Yasser BADREZZAMANE</v>
      </c>
      <c r="S44" s="4" t="str">
        <f>IF(Tableau2[[#This Row],[Contact Chargé Exploitation]]="Parfait MEZEME ONA","06 63 06 94 73","06 74 09 71 44")</f>
        <v>06 74 09 71 44</v>
      </c>
      <c r="T44" s="4" t="s">
        <v>47</v>
      </c>
      <c r="U44" s="4" t="str">
        <f>IF(Tableau2[[#This Row],[Contact Gestion actif]]="Victor PONTAIS","06 69 21 76 42","06 74 94 09 90")</f>
        <v>06 74 94 09 90</v>
      </c>
      <c r="V44" s="6"/>
      <c r="W44" s="6" t="s">
        <v>48</v>
      </c>
      <c r="X44" s="6"/>
      <c r="Y44" s="19">
        <v>0.72874985009167093</v>
      </c>
      <c r="Z44" s="20" t="s">
        <v>171</v>
      </c>
      <c r="AA44" s="32"/>
      <c r="AB44" s="32"/>
      <c r="AC44" s="3" t="s">
        <v>57</v>
      </c>
      <c r="AD44" s="3" t="s">
        <v>57</v>
      </c>
      <c r="AE44" s="3" t="s">
        <v>49</v>
      </c>
    </row>
    <row r="45" spans="1:31">
      <c r="A45" s="17">
        <v>81492</v>
      </c>
      <c r="B45" s="4" t="s">
        <v>178</v>
      </c>
      <c r="C45" s="4">
        <v>225.68</v>
      </c>
      <c r="D45" s="4" t="s">
        <v>149</v>
      </c>
      <c r="E45" s="4">
        <v>47.44106</v>
      </c>
      <c r="F45" s="4">
        <v>-1.2768200000000001</v>
      </c>
      <c r="G45" s="4" t="s">
        <v>179</v>
      </c>
      <c r="H45" s="6">
        <v>44</v>
      </c>
      <c r="I45" s="4" t="s">
        <v>96</v>
      </c>
      <c r="J45" s="4" t="s">
        <v>144</v>
      </c>
      <c r="K45" s="5">
        <v>45776</v>
      </c>
      <c r="L45" s="5">
        <v>45797</v>
      </c>
      <c r="M45" s="4" t="s">
        <v>44</v>
      </c>
      <c r="N45" s="5">
        <v>45824</v>
      </c>
      <c r="O45" s="5">
        <v>45875</v>
      </c>
      <c r="P45" s="4" t="s">
        <v>180</v>
      </c>
      <c r="Q45" s="4" t="s">
        <v>63</v>
      </c>
      <c r="R45" s="4" t="str">
        <f>_xlfn.XLOOKUP(Tableau2[[#This Row],[ID référent]],Feuil4!A:A,Feuil4!BD:BD)</f>
        <v>Parfait MEZEME ONA</v>
      </c>
      <c r="S45" s="4" t="str">
        <f>IF(Tableau2[[#This Row],[Contact Chargé Exploitation]]="Parfait MEZEME ONA","06 63 06 94 73","06 74 09 71 44")</f>
        <v>06 63 06 94 73</v>
      </c>
      <c r="T45" s="4" t="s">
        <v>47</v>
      </c>
      <c r="U45" s="4" t="str">
        <f>IF(Tableau2[[#This Row],[Contact Gestion actif]]="Victor PONTAIS","06 69 21 76 42","06 74 94 09 90")</f>
        <v>06 74 94 09 90</v>
      </c>
      <c r="V45" s="6" t="s">
        <v>48</v>
      </c>
      <c r="W45" s="6" t="s">
        <v>48</v>
      </c>
      <c r="X45" s="6"/>
      <c r="Y45" s="19">
        <v>0.9887763084079999</v>
      </c>
      <c r="AA45" s="32"/>
      <c r="AB45" s="32"/>
      <c r="AC45" s="3" t="s">
        <v>49</v>
      </c>
      <c r="AD45" s="3" t="s">
        <v>49</v>
      </c>
      <c r="AE45" s="3" t="s">
        <v>49</v>
      </c>
    </row>
    <row r="46" spans="1:31">
      <c r="A46" s="17">
        <v>3391</v>
      </c>
      <c r="B46" s="4" t="s">
        <v>181</v>
      </c>
      <c r="C46" s="4">
        <v>331.24</v>
      </c>
      <c r="D46" s="4" t="s">
        <v>149</v>
      </c>
      <c r="E46" s="4">
        <v>44.561230000000002</v>
      </c>
      <c r="F46" s="4">
        <v>0.24227000000000001</v>
      </c>
      <c r="G46" s="4" t="s">
        <v>182</v>
      </c>
      <c r="H46" s="6">
        <v>47</v>
      </c>
      <c r="I46" s="4" t="s">
        <v>53</v>
      </c>
      <c r="J46" s="4" t="s">
        <v>123</v>
      </c>
      <c r="K46" s="5">
        <v>45727</v>
      </c>
      <c r="L46" s="5">
        <v>45817</v>
      </c>
      <c r="M46" s="4" t="s">
        <v>44</v>
      </c>
      <c r="N46" s="5">
        <v>45824</v>
      </c>
      <c r="O46" s="5">
        <v>45880</v>
      </c>
      <c r="P46" s="4" t="s">
        <v>62</v>
      </c>
      <c r="Q46" s="4" t="s">
        <v>56</v>
      </c>
      <c r="R46" s="4" t="str">
        <f>_xlfn.XLOOKUP(Tableau2[[#This Row],[ID référent]],Feuil4!A:A,Feuil4!BD:BD)</f>
        <v>Parfait MEZEME ONA</v>
      </c>
      <c r="S46" s="4" t="str">
        <f>IF(Tableau2[[#This Row],[Contact Chargé Exploitation]]="Parfait MEZEME ONA","06 63 06 94 73","06 74 09 71 44")</f>
        <v>06 63 06 94 73</v>
      </c>
      <c r="T46" s="4" t="s">
        <v>47</v>
      </c>
      <c r="U46" s="4" t="str">
        <f>IF(Tableau2[[#This Row],[Contact Gestion actif]]="Victor PONTAIS","06 69 21 76 42","06 74 94 09 90")</f>
        <v>06 74 94 09 90</v>
      </c>
      <c r="V46" s="6"/>
      <c r="W46" s="6" t="s">
        <v>48</v>
      </c>
      <c r="X46" s="6"/>
      <c r="Y46" s="19">
        <v>1.0442442440677537</v>
      </c>
      <c r="AA46" s="32"/>
      <c r="AB46" s="32"/>
      <c r="AC46" s="3" t="s">
        <v>49</v>
      </c>
      <c r="AD46" s="3" t="s">
        <v>57</v>
      </c>
      <c r="AE46" s="3" t="s">
        <v>49</v>
      </c>
    </row>
    <row r="47" spans="1:31">
      <c r="A47" s="17">
        <v>3085</v>
      </c>
      <c r="B47" s="4" t="s">
        <v>183</v>
      </c>
      <c r="C47" s="4">
        <v>324.87</v>
      </c>
      <c r="D47" s="4" t="s">
        <v>149</v>
      </c>
      <c r="E47" s="4">
        <v>43.304009999999998</v>
      </c>
      <c r="F47" s="4">
        <v>2.0753599999999999</v>
      </c>
      <c r="G47" s="4" t="s">
        <v>184</v>
      </c>
      <c r="H47" s="6">
        <v>11</v>
      </c>
      <c r="I47" s="4" t="s">
        <v>96</v>
      </c>
      <c r="J47" s="4" t="s">
        <v>132</v>
      </c>
      <c r="K47" s="5">
        <v>45831</v>
      </c>
      <c r="L47" s="5">
        <v>45825</v>
      </c>
      <c r="M47" s="4" t="s">
        <v>61</v>
      </c>
      <c r="N47" s="5">
        <v>45863</v>
      </c>
      <c r="O47" s="5">
        <v>45898</v>
      </c>
      <c r="P47" s="4" t="s">
        <v>62</v>
      </c>
      <c r="Q47" s="4" t="s">
        <v>63</v>
      </c>
      <c r="R47" s="4" t="str">
        <f>_xlfn.XLOOKUP(Tableau2[[#This Row],[ID référent]],Feuil4!A:A,Feuil4!BD:BD)</f>
        <v>Yasser BADREZZAMANE</v>
      </c>
      <c r="S47" s="4" t="str">
        <f>IF(Tableau2[[#This Row],[Contact Chargé Exploitation]]="Parfait MEZEME ONA","06 63 06 94 73","06 74 09 71 44")</f>
        <v>06 74 09 71 44</v>
      </c>
      <c r="T47" s="4" t="s">
        <v>47</v>
      </c>
      <c r="U47" s="4" t="str">
        <f>IF(Tableau2[[#This Row],[Contact Gestion actif]]="Victor PONTAIS","06 69 21 76 42","06 74 94 09 90")</f>
        <v>06 74 94 09 90</v>
      </c>
      <c r="V47" s="6"/>
      <c r="W47" s="6" t="s">
        <v>48</v>
      </c>
      <c r="X47" s="6"/>
      <c r="Y47" s="19">
        <v>0.94645882636036449</v>
      </c>
      <c r="AA47" s="32"/>
      <c r="AB47" s="32"/>
      <c r="AC47" s="3" t="s">
        <v>57</v>
      </c>
      <c r="AD47" s="3" t="s">
        <v>57</v>
      </c>
      <c r="AE47" s="3" t="s">
        <v>49</v>
      </c>
    </row>
    <row r="48" spans="1:31">
      <c r="A48" s="17">
        <v>97565</v>
      </c>
      <c r="B48" s="4" t="s">
        <v>185</v>
      </c>
      <c r="C48" s="4">
        <v>254.8</v>
      </c>
      <c r="D48" s="4" t="s">
        <v>155</v>
      </c>
      <c r="E48" s="4">
        <v>43.114730000000002</v>
      </c>
      <c r="F48" s="4">
        <v>2.2963</v>
      </c>
      <c r="G48" s="4" t="s">
        <v>186</v>
      </c>
      <c r="H48" s="6">
        <v>11</v>
      </c>
      <c r="I48" s="4" t="s">
        <v>53</v>
      </c>
      <c r="J48" s="4" t="s">
        <v>139</v>
      </c>
      <c r="K48" s="5">
        <v>45803</v>
      </c>
      <c r="L48" s="5">
        <v>45826</v>
      </c>
      <c r="M48" s="4" t="s">
        <v>61</v>
      </c>
      <c r="N48" s="5">
        <v>45849</v>
      </c>
      <c r="O48" s="5">
        <v>45890</v>
      </c>
      <c r="P48" s="4" t="s">
        <v>62</v>
      </c>
      <c r="Q48" s="4" t="s">
        <v>63</v>
      </c>
      <c r="R48" s="4" t="str">
        <f>_xlfn.XLOOKUP(Tableau2[[#This Row],[ID référent]],Feuil4!A:A,Feuil4!BD:BD)</f>
        <v>Parfait MEZEME ONA</v>
      </c>
      <c r="S48" s="4" t="str">
        <f>IF(Tableau2[[#This Row],[Contact Chargé Exploitation]]="Parfait MEZEME ONA","06 63 06 94 73","06 74 09 71 44")</f>
        <v>06 63 06 94 73</v>
      </c>
      <c r="T48" s="4" t="s">
        <v>86</v>
      </c>
      <c r="U48" s="4" t="str">
        <f>IF(Tableau2[[#This Row],[Contact Gestion actif]]="Victor PONTAIS","06 69 21 76 42","06 74 94 09 90")</f>
        <v>06 69 21 76 42</v>
      </c>
      <c r="V48" s="6"/>
      <c r="W48" s="6" t="s">
        <v>48</v>
      </c>
      <c r="X48" s="6"/>
      <c r="Y48" s="19">
        <v>0.95578182957687929</v>
      </c>
      <c r="AA48" s="32"/>
      <c r="AB48" s="32"/>
      <c r="AC48" s="3" t="s">
        <v>57</v>
      </c>
      <c r="AD48" s="3" t="s">
        <v>57</v>
      </c>
      <c r="AE48" s="3" t="s">
        <v>49</v>
      </c>
    </row>
    <row r="49" spans="1:31">
      <c r="A49" s="17">
        <v>95592</v>
      </c>
      <c r="B49" s="4" t="s">
        <v>187</v>
      </c>
      <c r="C49" s="4">
        <v>277.09500000000003</v>
      </c>
      <c r="D49" s="4" t="s">
        <v>155</v>
      </c>
      <c r="E49" s="4">
        <v>43.262569999999997</v>
      </c>
      <c r="F49" s="4">
        <v>2.1521400000000002</v>
      </c>
      <c r="G49" s="4" t="s">
        <v>188</v>
      </c>
      <c r="H49" s="6">
        <v>11</v>
      </c>
      <c r="I49" s="4" t="s">
        <v>96</v>
      </c>
      <c r="J49" s="4" t="s">
        <v>132</v>
      </c>
      <c r="K49" s="5">
        <v>45803</v>
      </c>
      <c r="L49" s="5">
        <v>45826</v>
      </c>
      <c r="M49" s="4" t="s">
        <v>61</v>
      </c>
      <c r="N49" s="5">
        <v>45849</v>
      </c>
      <c r="O49" s="5">
        <v>45888</v>
      </c>
      <c r="P49" s="4" t="s">
        <v>180</v>
      </c>
      <c r="Q49" s="4" t="s">
        <v>63</v>
      </c>
      <c r="R49" s="4" t="str">
        <f>_xlfn.XLOOKUP(Tableau2[[#This Row],[ID référent]],Feuil4!A:A,Feuil4!BD:BD)</f>
        <v>Parfait MEZEME ONA</v>
      </c>
      <c r="S49" s="4" t="str">
        <f>IF(Tableau2[[#This Row],[Contact Chargé Exploitation]]="Parfait MEZEME ONA","06 63 06 94 73","06 74 09 71 44")</f>
        <v>06 63 06 94 73</v>
      </c>
      <c r="T49" s="4" t="s">
        <v>86</v>
      </c>
      <c r="U49" s="4" t="str">
        <f>IF(Tableau2[[#This Row],[Contact Gestion actif]]="Victor PONTAIS","06 69 21 76 42","06 74 94 09 90")</f>
        <v>06 69 21 76 42</v>
      </c>
      <c r="V49" s="6" t="s">
        <v>48</v>
      </c>
      <c r="W49" s="6" t="s">
        <v>48</v>
      </c>
      <c r="X49" s="6"/>
      <c r="Y49" s="19">
        <v>1.4681898348534022</v>
      </c>
      <c r="AA49" s="32"/>
      <c r="AB49" s="32"/>
      <c r="AC49" s="3" t="s">
        <v>57</v>
      </c>
      <c r="AD49" s="3" t="s">
        <v>49</v>
      </c>
      <c r="AE49" s="3" t="s">
        <v>49</v>
      </c>
    </row>
    <row r="50" spans="1:31">
      <c r="A50" s="17">
        <v>34481</v>
      </c>
      <c r="B50" s="4" t="s">
        <v>189</v>
      </c>
      <c r="C50" s="4">
        <v>197.8</v>
      </c>
      <c r="D50" s="4" t="s">
        <v>125</v>
      </c>
      <c r="E50" s="4">
        <v>45.988950000000003</v>
      </c>
      <c r="F50" s="4">
        <v>-0.21354000000000001</v>
      </c>
      <c r="G50" s="4" t="s">
        <v>190</v>
      </c>
      <c r="H50" s="6">
        <v>17</v>
      </c>
      <c r="I50" s="4" t="s">
        <v>79</v>
      </c>
      <c r="J50" s="4" t="s">
        <v>89</v>
      </c>
      <c r="K50" s="5">
        <v>45425</v>
      </c>
      <c r="L50" s="5">
        <v>45436</v>
      </c>
      <c r="M50" s="4" t="s">
        <v>44</v>
      </c>
      <c r="N50" s="5">
        <v>45439</v>
      </c>
      <c r="O50" s="5">
        <v>45554</v>
      </c>
      <c r="P50" s="4" t="s">
        <v>62</v>
      </c>
      <c r="Q50" s="4" t="s">
        <v>75</v>
      </c>
      <c r="R50" s="4" t="str">
        <f>_xlfn.XLOOKUP(Tableau2[[#This Row],[ID référent]],Feuil4!A:A,Feuil4!BD:BD)</f>
        <v>Parfait MEZEME ONA</v>
      </c>
      <c r="S50" s="4" t="str">
        <f>IF(Tableau2[[#This Row],[Contact Chargé Exploitation]]="Parfait MEZEME ONA","06 63 06 94 73","06 74 09 71 44")</f>
        <v>06 63 06 94 73</v>
      </c>
      <c r="T50" s="4" t="s">
        <v>86</v>
      </c>
      <c r="U50" s="4" t="str">
        <f>IF(Tableau2[[#This Row],[Contact Gestion actif]]="Victor PONTAIS","06 69 21 76 42","06 74 94 09 90")</f>
        <v>06 69 21 76 42</v>
      </c>
      <c r="V50" s="6"/>
      <c r="W50" s="6" t="s">
        <v>48</v>
      </c>
      <c r="X50" s="6"/>
      <c r="Y50" s="19">
        <v>1.232213832684776</v>
      </c>
      <c r="AA50" s="32"/>
      <c r="AB50" s="32"/>
      <c r="AC50" s="3" t="s">
        <v>49</v>
      </c>
      <c r="AD50" s="3" t="s">
        <v>57</v>
      </c>
      <c r="AE50" s="3" t="s">
        <v>49</v>
      </c>
    </row>
    <row r="51" spans="1:31">
      <c r="A51" s="17">
        <v>35451</v>
      </c>
      <c r="B51" s="4" t="s">
        <v>191</v>
      </c>
      <c r="C51" s="4">
        <v>218.4</v>
      </c>
      <c r="D51" s="4" t="s">
        <v>51</v>
      </c>
      <c r="E51" s="4">
        <v>43.566980000000001</v>
      </c>
      <c r="F51" s="4">
        <v>1.6299999999999999E-2</v>
      </c>
      <c r="G51" s="4" t="s">
        <v>192</v>
      </c>
      <c r="H51" s="6">
        <v>32</v>
      </c>
      <c r="I51" s="4" t="s">
        <v>53</v>
      </c>
      <c r="J51" s="4" t="s">
        <v>80</v>
      </c>
      <c r="K51" s="5">
        <v>45614</v>
      </c>
      <c r="L51" s="5">
        <v>45639</v>
      </c>
      <c r="M51" s="4" t="s">
        <v>44</v>
      </c>
      <c r="N51" s="5">
        <v>45649</v>
      </c>
      <c r="O51" s="5">
        <v>45735</v>
      </c>
      <c r="P51" s="4" t="s">
        <v>62</v>
      </c>
      <c r="Q51" s="4" t="s">
        <v>56</v>
      </c>
      <c r="R51" s="4" t="str">
        <f>_xlfn.XLOOKUP(Tableau2[[#This Row],[ID référent]],Feuil4!A:A,Feuil4!BD:BD)</f>
        <v>Parfait MEZEME ONA</v>
      </c>
      <c r="S51" s="4" t="str">
        <f>IF(Tableau2[[#This Row],[Contact Chargé Exploitation]]="Parfait MEZEME ONA","06 63 06 94 73","06 74 09 71 44")</f>
        <v>06 63 06 94 73</v>
      </c>
      <c r="T51" s="4" t="s">
        <v>47</v>
      </c>
      <c r="U51" s="4" t="str">
        <f>IF(Tableau2[[#This Row],[Contact Gestion actif]]="Victor PONTAIS","06 69 21 76 42","06 74 94 09 90")</f>
        <v>06 74 94 09 90</v>
      </c>
      <c r="V51" s="6"/>
      <c r="W51" s="6" t="s">
        <v>48</v>
      </c>
      <c r="X51" s="6"/>
      <c r="Y51" s="19">
        <v>0.97429079649063233</v>
      </c>
      <c r="AA51" s="32"/>
      <c r="AB51" s="32"/>
      <c r="AC51" s="3" t="s">
        <v>57</v>
      </c>
      <c r="AD51" s="3" t="s">
        <v>57</v>
      </c>
      <c r="AE51" s="3" t="s">
        <v>49</v>
      </c>
    </row>
    <row r="52" spans="1:31">
      <c r="A52" s="17">
        <v>58166</v>
      </c>
      <c r="B52" s="4" t="s">
        <v>193</v>
      </c>
      <c r="C52" s="4">
        <v>309.39999999999998</v>
      </c>
      <c r="D52" s="4" t="s">
        <v>51</v>
      </c>
      <c r="E52" s="4">
        <v>45.578949999999999</v>
      </c>
      <c r="F52" s="4">
        <v>4.2185100000000002</v>
      </c>
      <c r="G52" s="4" t="s">
        <v>194</v>
      </c>
      <c r="H52" s="6">
        <v>42</v>
      </c>
      <c r="I52" s="4" t="s">
        <v>53</v>
      </c>
      <c r="J52" s="4" t="s">
        <v>54</v>
      </c>
      <c r="K52" s="5">
        <v>45740</v>
      </c>
      <c r="L52" s="5">
        <v>45754</v>
      </c>
      <c r="M52" s="4" t="s">
        <v>44</v>
      </c>
      <c r="N52" s="5">
        <v>45763</v>
      </c>
      <c r="O52" s="5">
        <v>45790</v>
      </c>
      <c r="P52" s="4" t="s">
        <v>62</v>
      </c>
      <c r="Q52" s="4" t="s">
        <v>63</v>
      </c>
      <c r="R52" s="4" t="str">
        <f>_xlfn.XLOOKUP(Tableau2[[#This Row],[ID référent]],Feuil4!A:A,Feuil4!BD:BD)</f>
        <v>Yasser BADREZZAMANE</v>
      </c>
      <c r="S52" s="4" t="str">
        <f>IF(Tableau2[[#This Row],[Contact Chargé Exploitation]]="Parfait MEZEME ONA","06 63 06 94 73","06 74 09 71 44")</f>
        <v>06 74 09 71 44</v>
      </c>
      <c r="T52" s="4" t="s">
        <v>47</v>
      </c>
      <c r="U52" s="4" t="str">
        <f>IF(Tableau2[[#This Row],[Contact Gestion actif]]="Victor PONTAIS","06 69 21 76 42","06 74 94 09 90")</f>
        <v>06 74 94 09 90</v>
      </c>
      <c r="V52" s="6"/>
      <c r="W52" s="6" t="s">
        <v>48</v>
      </c>
      <c r="X52" s="6"/>
      <c r="Y52" s="19">
        <v>0.93134409103517846</v>
      </c>
      <c r="AA52" s="32"/>
      <c r="AB52" s="32"/>
      <c r="AC52" s="3" t="s">
        <v>57</v>
      </c>
      <c r="AD52" s="3" t="s">
        <v>57</v>
      </c>
      <c r="AE52" s="3" t="s">
        <v>49</v>
      </c>
    </row>
    <row r="53" spans="1:31">
      <c r="A53" s="17">
        <v>95992</v>
      </c>
      <c r="B53" s="4" t="s">
        <v>195</v>
      </c>
      <c r="C53" s="4">
        <v>309.39999999999998</v>
      </c>
      <c r="D53" s="4" t="s">
        <v>117</v>
      </c>
      <c r="E53" s="4">
        <v>44.216790000000003</v>
      </c>
      <c r="F53" s="4">
        <v>2.6334900000000001</v>
      </c>
      <c r="G53" s="4" t="s">
        <v>196</v>
      </c>
      <c r="H53" s="6">
        <v>12</v>
      </c>
      <c r="I53" s="4" t="s">
        <v>53</v>
      </c>
      <c r="J53" s="4" t="s">
        <v>54</v>
      </c>
      <c r="K53" s="5">
        <v>45719</v>
      </c>
      <c r="L53" s="5">
        <v>45771</v>
      </c>
      <c r="M53" s="4" t="s">
        <v>61</v>
      </c>
      <c r="N53" s="5">
        <v>45790</v>
      </c>
      <c r="O53" s="5">
        <v>45826</v>
      </c>
      <c r="P53" s="4" t="s">
        <v>62</v>
      </c>
      <c r="Q53" s="4" t="s">
        <v>56</v>
      </c>
      <c r="R53" s="4" t="str">
        <f>_xlfn.XLOOKUP(Tableau2[[#This Row],[ID référent]],Feuil4!A:A,Feuil4!BD:BD)</f>
        <v>Parfait MEZEME ONA</v>
      </c>
      <c r="S53" s="4" t="str">
        <f>IF(Tableau2[[#This Row],[Contact Chargé Exploitation]]="Parfait MEZEME ONA","06 63 06 94 73","06 74 09 71 44")</f>
        <v>06 63 06 94 73</v>
      </c>
      <c r="T53" s="4" t="s">
        <v>47</v>
      </c>
      <c r="U53" s="4" t="str">
        <f>IF(Tableau2[[#This Row],[Contact Gestion actif]]="Victor PONTAIS","06 69 21 76 42","06 74 94 09 90")</f>
        <v>06 74 94 09 90</v>
      </c>
      <c r="V53" s="6"/>
      <c r="W53" s="6" t="s">
        <v>48</v>
      </c>
      <c r="X53" s="6"/>
      <c r="Y53" s="19">
        <v>0.94429349881508695</v>
      </c>
      <c r="AA53" s="32"/>
      <c r="AB53" s="32"/>
      <c r="AC53" s="3" t="s">
        <v>49</v>
      </c>
      <c r="AD53" s="3" t="s">
        <v>57</v>
      </c>
      <c r="AE53" s="3" t="s">
        <v>49</v>
      </c>
    </row>
    <row r="54" spans="1:31">
      <c r="A54" s="30">
        <v>98563</v>
      </c>
      <c r="B54" s="26" t="str">
        <f>_xlfn.XLOOKUP(Tableau2[[#This Row],[ID référent]],Feuil4!A:A,Feuil4!B:B)</f>
        <v>TOURNIER</v>
      </c>
      <c r="C54" s="26">
        <f>_xlfn.XLOOKUP(Tableau2[[#This Row],[ID référent]],Feuil4!A:A,Feuil4!P:P)</f>
        <v>197.92500000000001</v>
      </c>
      <c r="D54" s="4" t="s">
        <v>125</v>
      </c>
      <c r="E54" s="26">
        <f>_xlfn.XLOOKUP(Tableau2[[#This Row],[ID référent]],Feuil4!A:A,Feuil4!AF:AF)</f>
        <v>43.3172</v>
      </c>
      <c r="F54" s="26">
        <f>_xlfn.XLOOKUP(Tableau2[[#This Row],[ID référent]],Feuil4!A:A,Feuil4!AG:AG)</f>
        <v>1.1211599999999999</v>
      </c>
      <c r="G54" s="26" t="s">
        <v>197</v>
      </c>
      <c r="H54" s="27" t="str">
        <f>LEFT(_xlfn.XLOOKUP(Tableau2[[#This Row],[ID référent]],Feuil4!A:A,Feuil4!F:F),2)</f>
        <v>31</v>
      </c>
      <c r="I54" s="4" t="s">
        <v>67</v>
      </c>
      <c r="J54" s="26" t="str">
        <f>_xlfn.XLOOKUP(Tableau2[[#This Row],[ID référent]],Feuil4!A:A,Feuil4!AP:AP)</f>
        <v>KEVEL</v>
      </c>
      <c r="K54" s="28">
        <v>45565</v>
      </c>
      <c r="L54" s="28">
        <v>45582</v>
      </c>
      <c r="M54" s="4" t="s">
        <v>44</v>
      </c>
      <c r="N54" s="28">
        <v>45583</v>
      </c>
      <c r="O54" s="28">
        <f>_xlfn.XLOOKUP(Tableau2[[#This Row],[ID référent]],Feuil4!A:A,Feuil4!D:D)</f>
        <v>45670</v>
      </c>
      <c r="P54" s="4" t="s">
        <v>74</v>
      </c>
      <c r="Q54" t="s">
        <v>56</v>
      </c>
      <c r="R54" s="26" t="str">
        <f>_xlfn.XLOOKUP(Tableau2[[#This Row],[ID référent]],Feuil4!A:A,Feuil4!BD:BD)</f>
        <v>Parfait MEZEME ONA</v>
      </c>
      <c r="S54" s="26" t="str">
        <f>IF(Tableau2[[#This Row],[Contact Chargé Exploitation]]="Parfait MEZEME ONA","06 63 06 94 73","06 74 09 71 44")</f>
        <v>06 63 06 94 73</v>
      </c>
      <c r="T54" s="4" t="s">
        <v>86</v>
      </c>
      <c r="U54" s="26" t="str">
        <f>IF(Tableau2[[#This Row],[Contact Gestion actif]]="Victor PONTAIS","06 69 21 76 42","06 74 94 09 90")</f>
        <v>06 69 21 76 42</v>
      </c>
      <c r="V54" s="27"/>
      <c r="W54" s="27" t="s">
        <v>48</v>
      </c>
      <c r="X54" s="27" t="s">
        <v>48</v>
      </c>
      <c r="Y54" s="29">
        <v>0.76</v>
      </c>
      <c r="AA54" s="33"/>
      <c r="AB54" s="33"/>
      <c r="AC54" s="3" t="s">
        <v>57</v>
      </c>
      <c r="AD54" s="3" t="s">
        <v>57</v>
      </c>
      <c r="AE54" s="3" t="s">
        <v>49</v>
      </c>
    </row>
    <row r="58" spans="1:31">
      <c r="D58" s="1"/>
    </row>
    <row r="59" spans="1:31">
      <c r="A59" s="18"/>
      <c r="D59" s="2"/>
    </row>
    <row r="60" spans="1:31">
      <c r="A60" s="18"/>
      <c r="D60" s="2"/>
    </row>
    <row r="61" spans="1:31">
      <c r="A61" s="18"/>
      <c r="D61" s="2"/>
    </row>
    <row r="62" spans="1:31">
      <c r="A62" s="18"/>
      <c r="D62" s="2"/>
    </row>
    <row r="63" spans="1:31">
      <c r="A63" s="18"/>
      <c r="D63" s="2"/>
    </row>
    <row r="64" spans="1:31">
      <c r="A64" s="18"/>
      <c r="D64" s="2"/>
    </row>
    <row r="65" spans="1:4">
      <c r="A65" s="18"/>
      <c r="D65" s="2"/>
    </row>
    <row r="66" spans="1:4">
      <c r="A66" s="18"/>
      <c r="D66" s="2"/>
    </row>
    <row r="67" spans="1:4">
      <c r="A67" s="18"/>
      <c r="D67" s="2"/>
    </row>
    <row r="68" spans="1:4">
      <c r="A68" s="18"/>
      <c r="D68" s="2"/>
    </row>
    <row r="69" spans="1:4">
      <c r="A69" s="18"/>
      <c r="D69" s="2"/>
    </row>
    <row r="70" spans="1:4">
      <c r="A70" s="18"/>
      <c r="D70" s="2"/>
    </row>
    <row r="71" spans="1:4">
      <c r="A71" s="18"/>
      <c r="D71" s="2"/>
    </row>
    <row r="75" spans="1:4">
      <c r="A75" s="18"/>
    </row>
    <row r="76" spans="1:4">
      <c r="A76" s="18"/>
    </row>
    <row r="80" spans="1:4">
      <c r="A80" s="18"/>
    </row>
    <row r="81" spans="1:1">
      <c r="A81" s="18"/>
    </row>
    <row r="82" spans="1:1">
      <c r="A82" s="18"/>
    </row>
    <row r="83" spans="1:1">
      <c r="A83" s="18"/>
    </row>
    <row r="84" spans="1:1">
      <c r="A84" s="18"/>
    </row>
    <row r="85" spans="1:1">
      <c r="A85" s="18"/>
    </row>
    <row r="86" spans="1:1">
      <c r="A86" s="18"/>
    </row>
    <row r="87" spans="1:1">
      <c r="A87" s="18"/>
    </row>
    <row r="88" spans="1:1">
      <c r="A88" s="18"/>
    </row>
  </sheetData>
  <mergeCells count="5">
    <mergeCell ref="J1:L1"/>
    <mergeCell ref="M1:N1"/>
    <mergeCell ref="P1:Q1"/>
    <mergeCell ref="V1:W1"/>
    <mergeCell ref="A1:I1"/>
  </mergeCells>
  <phoneticPr fontId="7" type="noConversion"/>
  <conditionalFormatting sqref="Y3:Y54">
    <cfRule type="cellIs" dxfId="114" priority="1" operator="less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1C7A-D7A5-4122-80FA-86DAA93DC84F}">
  <dimension ref="A1:CD374"/>
  <sheetViews>
    <sheetView topLeftCell="E11" workbookViewId="0">
      <selection activeCell="E20" sqref="E20"/>
    </sheetView>
  </sheetViews>
  <sheetFormatPr defaultColWidth="11.42578125" defaultRowHeight="14.45"/>
  <cols>
    <col min="1" max="1" width="13.7109375" bestFit="1" customWidth="1"/>
    <col min="2" max="2" width="47.85546875" bestFit="1" customWidth="1"/>
    <col min="3" max="3" width="14.85546875" bestFit="1" customWidth="1"/>
    <col min="4" max="4" width="21.42578125" bestFit="1" customWidth="1"/>
    <col min="5" max="5" width="46.42578125" bestFit="1" customWidth="1"/>
    <col min="6" max="6" width="14.7109375" bestFit="1" customWidth="1"/>
    <col min="7" max="7" width="30.85546875" bestFit="1" customWidth="1"/>
    <col min="8" max="8" width="15.85546875" bestFit="1" customWidth="1"/>
    <col min="9" max="9" width="23.5703125" bestFit="1" customWidth="1"/>
    <col min="10" max="10" width="11" bestFit="1" customWidth="1"/>
    <col min="11" max="11" width="16.85546875" bestFit="1" customWidth="1"/>
    <col min="12" max="12" width="23.140625" bestFit="1" customWidth="1"/>
    <col min="13" max="13" width="16.85546875" bestFit="1" customWidth="1"/>
    <col min="14" max="14" width="16.5703125" bestFit="1" customWidth="1"/>
    <col min="15" max="15" width="31.140625" bestFit="1" customWidth="1"/>
    <col min="16" max="16" width="22.5703125" bestFit="1" customWidth="1"/>
    <col min="17" max="17" width="25.85546875" bestFit="1" customWidth="1"/>
    <col min="18" max="18" width="25.5703125" bestFit="1" customWidth="1"/>
    <col min="19" max="19" width="28.42578125" bestFit="1" customWidth="1"/>
    <col min="20" max="20" width="23.28515625" bestFit="1" customWidth="1"/>
    <col min="21" max="21" width="26" bestFit="1" customWidth="1"/>
    <col min="22" max="22" width="19.85546875" bestFit="1" customWidth="1"/>
    <col min="23" max="23" width="36.85546875" bestFit="1" customWidth="1"/>
    <col min="24" max="24" width="20.7109375" bestFit="1" customWidth="1"/>
    <col min="25" max="25" width="14.85546875" bestFit="1" customWidth="1"/>
    <col min="26" max="26" width="21.140625" bestFit="1" customWidth="1"/>
    <col min="27" max="27" width="23.7109375" bestFit="1" customWidth="1"/>
    <col min="28" max="28" width="14" bestFit="1" customWidth="1"/>
    <col min="29" max="30" width="48.28515625" bestFit="1" customWidth="1"/>
    <col min="31" max="31" width="21.85546875" bestFit="1" customWidth="1"/>
    <col min="32" max="32" width="10.42578125" bestFit="1" customWidth="1"/>
    <col min="33" max="33" width="11.85546875" bestFit="1" customWidth="1"/>
    <col min="34" max="34" width="31.42578125" bestFit="1" customWidth="1"/>
    <col min="35" max="35" width="80.7109375" bestFit="1" customWidth="1"/>
    <col min="36" max="36" width="13.140625" bestFit="1" customWidth="1"/>
    <col min="37" max="37" width="49.7109375" bestFit="1" customWidth="1"/>
    <col min="38" max="38" width="37.42578125" bestFit="1" customWidth="1"/>
    <col min="39" max="39" width="44.42578125" bestFit="1" customWidth="1"/>
    <col min="40" max="40" width="25.85546875" bestFit="1" customWidth="1"/>
    <col min="41" max="41" width="28.140625" bestFit="1" customWidth="1"/>
    <col min="42" max="42" width="22.5703125" bestFit="1" customWidth="1"/>
    <col min="43" max="43" width="28.5703125" bestFit="1" customWidth="1"/>
    <col min="44" max="44" width="8" bestFit="1" customWidth="1"/>
    <col min="45" max="45" width="11.5703125" bestFit="1" customWidth="1"/>
    <col min="46" max="46" width="25.42578125" bestFit="1" customWidth="1"/>
    <col min="47" max="47" width="15.140625" bestFit="1" customWidth="1"/>
    <col min="48" max="48" width="15.85546875" bestFit="1" customWidth="1"/>
    <col min="49" max="49" width="10.140625" bestFit="1" customWidth="1"/>
    <col min="50" max="50" width="21.85546875" bestFit="1" customWidth="1"/>
    <col min="51" max="51" width="12.42578125" bestFit="1" customWidth="1"/>
    <col min="52" max="52" width="14.28515625" bestFit="1" customWidth="1"/>
    <col min="53" max="53" width="24.85546875" bestFit="1" customWidth="1"/>
    <col min="54" max="54" width="20.140625" bestFit="1" customWidth="1"/>
    <col min="55" max="55" width="29.85546875" bestFit="1" customWidth="1"/>
    <col min="56" max="56" width="21.85546875" bestFit="1" customWidth="1"/>
    <col min="57" max="57" width="21.140625" bestFit="1" customWidth="1"/>
    <col min="58" max="59" width="23.140625" bestFit="1" customWidth="1"/>
    <col min="60" max="60" width="52.7109375" bestFit="1" customWidth="1"/>
    <col min="61" max="61" width="54.28515625" bestFit="1" customWidth="1"/>
    <col min="62" max="62" width="60.140625" bestFit="1" customWidth="1"/>
    <col min="63" max="63" width="30.85546875" bestFit="1" customWidth="1"/>
    <col min="64" max="64" width="32.42578125" bestFit="1" customWidth="1"/>
    <col min="65" max="65" width="24.140625" bestFit="1" customWidth="1"/>
    <col min="66" max="66" width="37.140625" bestFit="1" customWidth="1"/>
    <col min="67" max="67" width="45.140625" bestFit="1" customWidth="1"/>
    <col min="68" max="68" width="26.42578125" bestFit="1" customWidth="1"/>
    <col min="69" max="69" width="39.140625" bestFit="1" customWidth="1"/>
    <col min="70" max="71" width="80.7109375" bestFit="1" customWidth="1"/>
    <col min="72" max="72" width="34.42578125" bestFit="1" customWidth="1"/>
    <col min="73" max="73" width="28.7109375" bestFit="1" customWidth="1"/>
    <col min="74" max="74" width="21.28515625" bestFit="1" customWidth="1"/>
    <col min="75" max="75" width="16.140625" bestFit="1" customWidth="1"/>
    <col min="76" max="76" width="80.7109375" bestFit="1" customWidth="1"/>
    <col min="77" max="77" width="30" bestFit="1" customWidth="1"/>
    <col min="78" max="78" width="29.5703125" bestFit="1" customWidth="1"/>
    <col min="79" max="79" width="33" bestFit="1" customWidth="1"/>
    <col min="80" max="80" width="20.28515625" bestFit="1" customWidth="1"/>
    <col min="81" max="81" width="16.42578125" bestFit="1" customWidth="1"/>
    <col min="82" max="82" width="58.42578125" bestFit="1" customWidth="1"/>
  </cols>
  <sheetData>
    <row r="1" spans="1:82">
      <c r="A1" t="s">
        <v>198</v>
      </c>
      <c r="B1" t="s">
        <v>199</v>
      </c>
      <c r="C1" t="s">
        <v>200</v>
      </c>
      <c r="D1" t="s">
        <v>201</v>
      </c>
      <c r="E1" t="s">
        <v>14</v>
      </c>
      <c r="F1" t="s">
        <v>202</v>
      </c>
      <c r="G1" t="s">
        <v>203</v>
      </c>
      <c r="H1" t="s">
        <v>204</v>
      </c>
      <c r="I1" t="s">
        <v>16</v>
      </c>
      <c r="J1" t="s">
        <v>205</v>
      </c>
      <c r="K1" t="s">
        <v>206</v>
      </c>
      <c r="L1" t="s">
        <v>207</v>
      </c>
      <c r="M1" t="s">
        <v>208</v>
      </c>
      <c r="N1" t="s">
        <v>209</v>
      </c>
      <c r="O1" t="s">
        <v>210</v>
      </c>
      <c r="P1" t="s">
        <v>211</v>
      </c>
      <c r="Q1" t="s">
        <v>212</v>
      </c>
      <c r="R1" t="s">
        <v>213</v>
      </c>
      <c r="S1" t="s">
        <v>214</v>
      </c>
      <c r="T1" t="s">
        <v>215</v>
      </c>
      <c r="U1" t="s">
        <v>216</v>
      </c>
      <c r="V1" t="s">
        <v>217</v>
      </c>
      <c r="W1" t="s">
        <v>218</v>
      </c>
      <c r="X1" t="s">
        <v>219</v>
      </c>
      <c r="Y1" t="s">
        <v>220</v>
      </c>
      <c r="Z1" t="s">
        <v>221</v>
      </c>
      <c r="AA1" t="s">
        <v>222</v>
      </c>
      <c r="AB1" t="s">
        <v>223</v>
      </c>
      <c r="AC1" t="s">
        <v>224</v>
      </c>
      <c r="AD1" t="s">
        <v>225</v>
      </c>
      <c r="AE1" t="s">
        <v>226</v>
      </c>
      <c r="AF1" t="s">
        <v>12</v>
      </c>
      <c r="AG1" t="s">
        <v>13</v>
      </c>
      <c r="AH1" t="s">
        <v>227</v>
      </c>
      <c r="AI1" t="s">
        <v>228</v>
      </c>
      <c r="AJ1" t="s">
        <v>229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  <c r="AR1" t="s">
        <v>237</v>
      </c>
      <c r="AS1" t="s">
        <v>238</v>
      </c>
      <c r="AT1" t="s">
        <v>239</v>
      </c>
      <c r="AU1" t="s">
        <v>240</v>
      </c>
      <c r="AV1" t="s">
        <v>241</v>
      </c>
      <c r="AW1" t="s">
        <v>242</v>
      </c>
      <c r="AX1" t="s">
        <v>243</v>
      </c>
      <c r="AY1" t="s">
        <v>244</v>
      </c>
      <c r="AZ1" t="s">
        <v>245</v>
      </c>
      <c r="BA1" t="s">
        <v>246</v>
      </c>
      <c r="BB1" t="s">
        <v>247</v>
      </c>
      <c r="BC1" t="s">
        <v>248</v>
      </c>
      <c r="BD1" t="s">
        <v>249</v>
      </c>
      <c r="BE1" t="s">
        <v>250</v>
      </c>
      <c r="BF1" t="s">
        <v>251</v>
      </c>
      <c r="BG1" t="s">
        <v>252</v>
      </c>
      <c r="BH1" t="s">
        <v>253</v>
      </c>
      <c r="BI1" t="s">
        <v>254</v>
      </c>
      <c r="BJ1" t="s">
        <v>255</v>
      </c>
      <c r="BK1" t="s">
        <v>256</v>
      </c>
      <c r="BL1" t="s">
        <v>257</v>
      </c>
      <c r="BM1" t="s">
        <v>258</v>
      </c>
      <c r="BN1" t="s">
        <v>259</v>
      </c>
      <c r="BO1" t="s">
        <v>260</v>
      </c>
      <c r="BP1" t="s">
        <v>261</v>
      </c>
      <c r="BQ1" t="s">
        <v>262</v>
      </c>
      <c r="BR1" t="s">
        <v>263</v>
      </c>
      <c r="BS1" t="s">
        <v>264</v>
      </c>
      <c r="BT1" t="s">
        <v>265</v>
      </c>
      <c r="BU1" t="s">
        <v>266</v>
      </c>
      <c r="BV1" t="s">
        <v>267</v>
      </c>
      <c r="BW1" t="s">
        <v>268</v>
      </c>
      <c r="BX1" t="s">
        <v>269</v>
      </c>
      <c r="BY1" t="s">
        <v>270</v>
      </c>
      <c r="BZ1" t="s">
        <v>271</v>
      </c>
      <c r="CA1" t="s">
        <v>272</v>
      </c>
      <c r="CB1" t="s">
        <v>273</v>
      </c>
      <c r="CC1" t="s">
        <v>274</v>
      </c>
      <c r="CD1" t="s">
        <v>275</v>
      </c>
    </row>
    <row r="2" spans="1:82">
      <c r="A2" s="8">
        <v>3338</v>
      </c>
      <c r="B2" s="9" t="s">
        <v>276</v>
      </c>
      <c r="C2" s="9" t="s">
        <v>277</v>
      </c>
      <c r="D2" s="10">
        <v>45959</v>
      </c>
      <c r="E2" s="9" t="s">
        <v>278</v>
      </c>
      <c r="F2" s="9" t="s">
        <v>279</v>
      </c>
      <c r="G2" s="9" t="s">
        <v>280</v>
      </c>
      <c r="H2" s="9" t="s">
        <v>281</v>
      </c>
      <c r="I2" s="9" t="s">
        <v>282</v>
      </c>
      <c r="J2" s="9" t="s">
        <v>283</v>
      </c>
      <c r="K2" s="9" t="s">
        <v>284</v>
      </c>
      <c r="L2" s="9" t="s">
        <v>285</v>
      </c>
      <c r="M2" s="9" t="s">
        <v>286</v>
      </c>
      <c r="N2" s="8">
        <v>1</v>
      </c>
      <c r="O2" s="9" t="s">
        <v>287</v>
      </c>
      <c r="P2" s="11">
        <v>318.5</v>
      </c>
      <c r="Q2" s="11">
        <v>250</v>
      </c>
      <c r="R2" s="11">
        <v>249</v>
      </c>
      <c r="S2" s="11">
        <v>1156</v>
      </c>
      <c r="T2" s="11">
        <v>368186</v>
      </c>
      <c r="U2" s="12">
        <v>5.3999999999999999E-2</v>
      </c>
      <c r="V2" s="12">
        <v>0.86647242339999997</v>
      </c>
      <c r="W2" s="11">
        <v>1136.679666</v>
      </c>
      <c r="X2" s="9" t="s">
        <v>288</v>
      </c>
      <c r="Y2" s="10">
        <v>45314</v>
      </c>
      <c r="Z2" s="13">
        <v>0.1208</v>
      </c>
      <c r="AA2" t="b">
        <v>0</v>
      </c>
      <c r="AB2" t="b">
        <v>0</v>
      </c>
      <c r="AC2" s="9" t="s">
        <v>289</v>
      </c>
      <c r="AD2" s="9" t="s">
        <v>290</v>
      </c>
      <c r="AE2" s="8">
        <v>1398.6759999999999</v>
      </c>
      <c r="AF2" s="14">
        <v>48.198270000000001</v>
      </c>
      <c r="AG2" s="14">
        <v>6.3398599999999998</v>
      </c>
      <c r="AH2" s="9" t="s">
        <v>291</v>
      </c>
      <c r="AI2" s="15" t="s">
        <v>292</v>
      </c>
      <c r="AJ2" s="9" t="s">
        <v>293</v>
      </c>
      <c r="AK2" s="9" t="s">
        <v>294</v>
      </c>
      <c r="AL2" s="9" t="s">
        <v>295</v>
      </c>
      <c r="AM2" s="9"/>
      <c r="AN2" s="9" t="s">
        <v>296</v>
      </c>
      <c r="AO2" s="9"/>
      <c r="AP2" s="9" t="s">
        <v>297</v>
      </c>
      <c r="AQ2" s="9" t="s">
        <v>298</v>
      </c>
      <c r="AR2" t="b">
        <v>0</v>
      </c>
      <c r="AS2" s="10"/>
      <c r="AT2" s="10" t="s">
        <v>299</v>
      </c>
      <c r="AU2" s="9"/>
      <c r="AV2" t="b">
        <v>0</v>
      </c>
      <c r="AW2" s="12"/>
      <c r="AX2" s="11"/>
      <c r="AY2" s="9"/>
      <c r="AZ2" t="b">
        <v>0</v>
      </c>
      <c r="BA2" s="9"/>
      <c r="BB2" s="12"/>
      <c r="BC2" s="11"/>
      <c r="BD2" s="9" t="s">
        <v>300</v>
      </c>
      <c r="BE2" s="9" t="s">
        <v>301</v>
      </c>
      <c r="BF2" s="9" t="s">
        <v>302</v>
      </c>
      <c r="BG2" s="9" t="s">
        <v>303</v>
      </c>
      <c r="BH2" s="9" t="s">
        <v>304</v>
      </c>
      <c r="BI2" s="9" t="s">
        <v>305</v>
      </c>
      <c r="BJ2" s="9" t="s">
        <v>306</v>
      </c>
      <c r="BK2" s="11">
        <v>856</v>
      </c>
      <c r="BL2" s="16">
        <v>188.2895</v>
      </c>
      <c r="BM2" s="10"/>
      <c r="BN2" s="10"/>
      <c r="BO2" s="10"/>
      <c r="BP2" s="16"/>
      <c r="BQ2" s="16"/>
      <c r="BR2" s="9"/>
      <c r="BS2" s="9"/>
      <c r="BT2" s="9"/>
      <c r="BU2" s="9"/>
      <c r="BV2" s="9"/>
      <c r="BW2" s="10"/>
      <c r="BX2" s="15" t="s">
        <v>307</v>
      </c>
      <c r="BY2" s="10"/>
      <c r="BZ2" s="10"/>
      <c r="CA2" s="10"/>
      <c r="CB2" t="b">
        <v>0</v>
      </c>
      <c r="CC2" s="9" t="s">
        <v>308</v>
      </c>
      <c r="CD2" s="9" t="s">
        <v>309</v>
      </c>
    </row>
    <row r="3" spans="1:82">
      <c r="A3" s="8">
        <v>98570</v>
      </c>
      <c r="B3" s="9" t="s">
        <v>310</v>
      </c>
      <c r="C3" s="9" t="s">
        <v>311</v>
      </c>
      <c r="D3" s="10">
        <v>45958</v>
      </c>
      <c r="E3" s="9" t="s">
        <v>312</v>
      </c>
      <c r="F3" s="9" t="s">
        <v>313</v>
      </c>
      <c r="G3" s="9" t="s">
        <v>314</v>
      </c>
      <c r="H3" s="9" t="s">
        <v>315</v>
      </c>
      <c r="I3" s="9" t="s">
        <v>282</v>
      </c>
      <c r="J3" s="9" t="s">
        <v>283</v>
      </c>
      <c r="K3" s="9" t="s">
        <v>284</v>
      </c>
      <c r="L3" s="9" t="s">
        <v>316</v>
      </c>
      <c r="M3" s="9" t="s">
        <v>317</v>
      </c>
      <c r="N3" s="8">
        <v>1</v>
      </c>
      <c r="O3" s="9" t="s">
        <v>318</v>
      </c>
      <c r="P3" s="11">
        <v>352.17</v>
      </c>
      <c r="Q3" s="11">
        <v>280</v>
      </c>
      <c r="R3" s="11">
        <v>249</v>
      </c>
      <c r="S3" s="11">
        <v>1179.5999999999999</v>
      </c>
      <c r="T3" s="11">
        <v>415419.73200000002</v>
      </c>
      <c r="U3" s="12">
        <v>5.3999999999999999E-2</v>
      </c>
      <c r="V3" s="12">
        <v>0.878</v>
      </c>
      <c r="W3" s="11">
        <v>1179.5999999999999</v>
      </c>
      <c r="X3" s="9" t="s">
        <v>288</v>
      </c>
      <c r="Y3" s="10">
        <v>45161</v>
      </c>
      <c r="Z3" s="13">
        <v>0.12379999999999999</v>
      </c>
      <c r="AA3" t="b">
        <v>0</v>
      </c>
      <c r="AB3" t="b">
        <v>0</v>
      </c>
      <c r="AC3" s="9" t="s">
        <v>289</v>
      </c>
      <c r="AD3" s="9" t="s">
        <v>290</v>
      </c>
      <c r="AE3" s="8">
        <v>1546.5360000000001</v>
      </c>
      <c r="AF3" s="14">
        <v>45.028109999999998</v>
      </c>
      <c r="AG3" s="14">
        <v>2.02617</v>
      </c>
      <c r="AH3" s="9" t="s">
        <v>291</v>
      </c>
      <c r="AI3" s="15" t="s">
        <v>319</v>
      </c>
      <c r="AJ3" s="9" t="s">
        <v>293</v>
      </c>
      <c r="AK3" s="9" t="s">
        <v>320</v>
      </c>
      <c r="AL3" s="9" t="s">
        <v>321</v>
      </c>
      <c r="AM3" s="9"/>
      <c r="AN3" s="9" t="s">
        <v>322</v>
      </c>
      <c r="AO3" s="9"/>
      <c r="AP3" s="9" t="s">
        <v>323</v>
      </c>
      <c r="AQ3" s="9" t="s">
        <v>324</v>
      </c>
      <c r="AR3" t="b">
        <v>0</v>
      </c>
      <c r="AS3" s="10"/>
      <c r="AT3" s="10" t="s">
        <v>299</v>
      </c>
      <c r="AU3" s="9"/>
      <c r="AV3" t="b">
        <v>0</v>
      </c>
      <c r="AW3" s="12"/>
      <c r="AX3" s="11"/>
      <c r="AY3" s="9"/>
      <c r="AZ3" t="b">
        <v>0</v>
      </c>
      <c r="BA3" s="9"/>
      <c r="BB3" s="12"/>
      <c r="BC3" s="11"/>
      <c r="BD3" s="9" t="s">
        <v>325</v>
      </c>
      <c r="BE3" s="9" t="s">
        <v>86</v>
      </c>
      <c r="BF3" s="9" t="s">
        <v>326</v>
      </c>
      <c r="BG3" s="9" t="s">
        <v>327</v>
      </c>
      <c r="BH3" s="9" t="s">
        <v>304</v>
      </c>
      <c r="BI3" s="9" t="s">
        <v>328</v>
      </c>
      <c r="BJ3" s="9" t="s">
        <v>329</v>
      </c>
      <c r="BK3" s="11">
        <v>856</v>
      </c>
      <c r="BL3" s="16">
        <v>200.64639</v>
      </c>
      <c r="BM3" s="10"/>
      <c r="BN3" s="10"/>
      <c r="BO3" s="10"/>
      <c r="BP3" s="16"/>
      <c r="BQ3" s="16"/>
      <c r="BR3" s="9"/>
      <c r="BS3" s="9"/>
      <c r="BT3" s="9"/>
      <c r="BU3" s="9"/>
      <c r="BV3" s="9"/>
      <c r="BW3" s="10"/>
      <c r="BX3" s="15" t="s">
        <v>330</v>
      </c>
      <c r="BY3" s="10"/>
      <c r="BZ3" s="10"/>
      <c r="CA3" s="10"/>
      <c r="CB3" t="b">
        <v>0</v>
      </c>
      <c r="CC3" s="9" t="s">
        <v>308</v>
      </c>
      <c r="CD3" s="9" t="s">
        <v>309</v>
      </c>
    </row>
    <row r="4" spans="1:82">
      <c r="A4" s="8">
        <v>99025</v>
      </c>
      <c r="B4" s="9" t="s">
        <v>331</v>
      </c>
      <c r="C4" s="9" t="s">
        <v>311</v>
      </c>
      <c r="D4" s="10">
        <v>45958</v>
      </c>
      <c r="E4" s="9" t="s">
        <v>332</v>
      </c>
      <c r="F4" s="9" t="s">
        <v>333</v>
      </c>
      <c r="G4" s="9" t="s">
        <v>334</v>
      </c>
      <c r="H4" s="9" t="s">
        <v>315</v>
      </c>
      <c r="I4" s="9" t="s">
        <v>282</v>
      </c>
      <c r="J4" s="9" t="s">
        <v>283</v>
      </c>
      <c r="K4" s="9" t="s">
        <v>284</v>
      </c>
      <c r="L4" s="9" t="s">
        <v>335</v>
      </c>
      <c r="M4" s="9" t="s">
        <v>336</v>
      </c>
      <c r="N4" s="8">
        <v>1</v>
      </c>
      <c r="O4" s="9" t="s">
        <v>337</v>
      </c>
      <c r="P4" s="11">
        <v>191</v>
      </c>
      <c r="Q4" s="11">
        <v>170</v>
      </c>
      <c r="R4" s="11">
        <v>146</v>
      </c>
      <c r="S4" s="11">
        <v>1164</v>
      </c>
      <c r="T4" s="11">
        <v>222324</v>
      </c>
      <c r="U4" s="12">
        <v>5.04E-2</v>
      </c>
      <c r="V4" s="12">
        <v>0.874</v>
      </c>
      <c r="W4" s="11">
        <v>1170</v>
      </c>
      <c r="X4" s="9" t="s">
        <v>288</v>
      </c>
      <c r="Y4" s="10">
        <v>45250</v>
      </c>
      <c r="Z4" s="13">
        <v>0.1208</v>
      </c>
      <c r="AA4" t="b">
        <v>0</v>
      </c>
      <c r="AB4" t="b">
        <v>0</v>
      </c>
      <c r="AC4" s="9" t="s">
        <v>289</v>
      </c>
      <c r="AD4" s="9" t="s">
        <v>290</v>
      </c>
      <c r="AE4" s="8">
        <v>837</v>
      </c>
      <c r="AF4" s="14">
        <v>45.197789999999998</v>
      </c>
      <c r="AG4" s="14">
        <v>2.0903499999999999</v>
      </c>
      <c r="AH4" s="9" t="s">
        <v>291</v>
      </c>
      <c r="AI4" s="15" t="s">
        <v>319</v>
      </c>
      <c r="AJ4" s="9" t="s">
        <v>293</v>
      </c>
      <c r="AK4" s="9" t="s">
        <v>338</v>
      </c>
      <c r="AL4" s="9" t="s">
        <v>339</v>
      </c>
      <c r="AM4" s="9"/>
      <c r="AN4" s="9" t="s">
        <v>340</v>
      </c>
      <c r="AO4" s="9"/>
      <c r="AP4" s="9" t="s">
        <v>108</v>
      </c>
      <c r="AQ4" s="9" t="s">
        <v>341</v>
      </c>
      <c r="AR4" t="b">
        <v>0</v>
      </c>
      <c r="AS4" s="10"/>
      <c r="AT4" s="10" t="s">
        <v>299</v>
      </c>
      <c r="AU4" s="9"/>
      <c r="AV4" t="b">
        <v>0</v>
      </c>
      <c r="AW4" s="12"/>
      <c r="AX4" s="11"/>
      <c r="AY4" s="9"/>
      <c r="AZ4" t="b">
        <v>0</v>
      </c>
      <c r="BA4" s="9"/>
      <c r="BB4" s="12"/>
      <c r="BC4" s="11"/>
      <c r="BD4" s="9" t="s">
        <v>325</v>
      </c>
      <c r="BE4" s="9" t="s">
        <v>86</v>
      </c>
      <c r="BF4" s="9" t="s">
        <v>326</v>
      </c>
      <c r="BG4" s="9" t="s">
        <v>327</v>
      </c>
      <c r="BH4" s="9" t="s">
        <v>304</v>
      </c>
      <c r="BI4" s="9" t="s">
        <v>328</v>
      </c>
      <c r="BJ4" s="9" t="s">
        <v>329</v>
      </c>
      <c r="BK4" s="11">
        <v>856</v>
      </c>
      <c r="BL4" s="16">
        <v>141.49700000000001</v>
      </c>
      <c r="BM4" s="10"/>
      <c r="BN4" s="10"/>
      <c r="BO4" s="10"/>
      <c r="BP4" s="16"/>
      <c r="BQ4" s="16"/>
      <c r="BR4" s="9"/>
      <c r="BS4" s="9"/>
      <c r="BT4" s="9"/>
      <c r="BU4" s="9"/>
      <c r="BV4" s="9"/>
      <c r="BW4" s="10"/>
      <c r="BX4" s="15" t="s">
        <v>342</v>
      </c>
      <c r="BY4" s="10"/>
      <c r="BZ4" s="10"/>
      <c r="CA4" s="10"/>
      <c r="CB4" t="b">
        <v>0</v>
      </c>
      <c r="CC4" s="9" t="s">
        <v>308</v>
      </c>
      <c r="CD4" s="9" t="s">
        <v>309</v>
      </c>
    </row>
    <row r="5" spans="1:82">
      <c r="A5" s="8">
        <v>99131</v>
      </c>
      <c r="B5" s="9" t="s">
        <v>343</v>
      </c>
      <c r="C5" s="9" t="s">
        <v>344</v>
      </c>
      <c r="D5" s="10">
        <v>45957</v>
      </c>
      <c r="E5" s="9" t="s">
        <v>345</v>
      </c>
      <c r="F5" s="9" t="s">
        <v>346</v>
      </c>
      <c r="G5" s="9" t="s">
        <v>347</v>
      </c>
      <c r="H5" s="9" t="s">
        <v>281</v>
      </c>
      <c r="I5" s="9" t="s">
        <v>282</v>
      </c>
      <c r="J5" s="9" t="s">
        <v>283</v>
      </c>
      <c r="K5" s="9" t="s">
        <v>284</v>
      </c>
      <c r="L5" s="9" t="s">
        <v>348</v>
      </c>
      <c r="M5" s="9" t="s">
        <v>349</v>
      </c>
      <c r="N5" s="8">
        <v>1</v>
      </c>
      <c r="O5" s="9" t="s">
        <v>350</v>
      </c>
      <c r="P5" s="11">
        <v>308</v>
      </c>
      <c r="Q5" s="11">
        <v>248</v>
      </c>
      <c r="R5" s="11">
        <v>248</v>
      </c>
      <c r="S5" s="11">
        <v>1182</v>
      </c>
      <c r="T5" s="11">
        <v>364056</v>
      </c>
      <c r="U5" s="12">
        <v>5.3999999999999999E-2</v>
      </c>
      <c r="V5" s="12">
        <v>0.86109999999999998</v>
      </c>
      <c r="W5" s="11">
        <v>1230.02</v>
      </c>
      <c r="X5" s="9" t="s">
        <v>288</v>
      </c>
      <c r="Y5" s="10">
        <v>45425</v>
      </c>
      <c r="Z5" s="13">
        <v>0.1118</v>
      </c>
      <c r="AA5" t="b">
        <v>0</v>
      </c>
      <c r="AB5" t="b">
        <v>0</v>
      </c>
      <c r="AC5" s="9" t="s">
        <v>289</v>
      </c>
      <c r="AD5" s="9" t="s">
        <v>290</v>
      </c>
      <c r="AE5" s="8">
        <v>1351</v>
      </c>
      <c r="AF5" s="14">
        <v>43.184739999999998</v>
      </c>
      <c r="AG5" s="14">
        <v>1.99512</v>
      </c>
      <c r="AH5" s="9" t="s">
        <v>351</v>
      </c>
      <c r="AI5" s="15" t="s">
        <v>319</v>
      </c>
      <c r="AJ5" s="9" t="s">
        <v>293</v>
      </c>
      <c r="AK5" s="9" t="s">
        <v>352</v>
      </c>
      <c r="AL5" s="9" t="s">
        <v>353</v>
      </c>
      <c r="AM5" s="9"/>
      <c r="AN5" s="9" t="s">
        <v>354</v>
      </c>
      <c r="AO5" s="9"/>
      <c r="AP5" s="9" t="s">
        <v>139</v>
      </c>
      <c r="AQ5" s="9" t="s">
        <v>355</v>
      </c>
      <c r="AR5" t="b">
        <v>0</v>
      </c>
      <c r="AS5" s="10"/>
      <c r="AT5" s="10" t="s">
        <v>299</v>
      </c>
      <c r="AU5" s="9"/>
      <c r="AV5" t="b">
        <v>0</v>
      </c>
      <c r="AW5" s="12"/>
      <c r="AX5" s="11"/>
      <c r="AY5" s="9"/>
      <c r="AZ5" t="b">
        <v>0</v>
      </c>
      <c r="BA5" s="9"/>
      <c r="BB5" s="12"/>
      <c r="BC5" s="11"/>
      <c r="BD5" s="9" t="s">
        <v>325</v>
      </c>
      <c r="BE5" s="9" t="s">
        <v>86</v>
      </c>
      <c r="BF5" s="9" t="s">
        <v>356</v>
      </c>
      <c r="BG5" s="9" t="s">
        <v>357</v>
      </c>
      <c r="BH5" s="9" t="s">
        <v>304</v>
      </c>
      <c r="BI5" s="9" t="s">
        <v>358</v>
      </c>
      <c r="BJ5" s="9" t="s">
        <v>359</v>
      </c>
      <c r="BK5" s="11">
        <v>856</v>
      </c>
      <c r="BL5" s="16">
        <v>184.43600000000001</v>
      </c>
      <c r="BM5" s="10"/>
      <c r="BN5" s="10"/>
      <c r="BO5" s="10"/>
      <c r="BP5" s="16"/>
      <c r="BQ5" s="16"/>
      <c r="BR5" s="9"/>
      <c r="BS5" s="9"/>
      <c r="BT5" s="9"/>
      <c r="BU5" s="9"/>
      <c r="BV5" s="9"/>
      <c r="BW5" s="10"/>
      <c r="BX5" s="15" t="s">
        <v>360</v>
      </c>
      <c r="BY5" s="10"/>
      <c r="BZ5" s="10"/>
      <c r="CA5" s="10"/>
      <c r="CB5" t="b">
        <v>0</v>
      </c>
      <c r="CC5" s="9" t="s">
        <v>308</v>
      </c>
      <c r="CD5" s="9" t="s">
        <v>309</v>
      </c>
    </row>
    <row r="6" spans="1:82">
      <c r="A6" s="8">
        <v>3427</v>
      </c>
      <c r="B6" s="9" t="s">
        <v>361</v>
      </c>
      <c r="C6" s="9" t="s">
        <v>311</v>
      </c>
      <c r="D6" s="10">
        <v>45957</v>
      </c>
      <c r="E6" s="9" t="s">
        <v>362</v>
      </c>
      <c r="F6" s="9" t="s">
        <v>363</v>
      </c>
      <c r="G6" s="9" t="s">
        <v>364</v>
      </c>
      <c r="H6" s="9" t="s">
        <v>281</v>
      </c>
      <c r="I6" s="9" t="s">
        <v>282</v>
      </c>
      <c r="J6" s="9" t="s">
        <v>283</v>
      </c>
      <c r="K6" s="9" t="s">
        <v>284</v>
      </c>
      <c r="L6" s="9" t="s">
        <v>365</v>
      </c>
      <c r="M6" s="9" t="s">
        <v>366</v>
      </c>
      <c r="N6" s="8">
        <v>2</v>
      </c>
      <c r="O6" s="9" t="s">
        <v>367</v>
      </c>
      <c r="P6" s="11">
        <v>500</v>
      </c>
      <c r="Q6" s="11">
        <v>500</v>
      </c>
      <c r="R6" s="11">
        <v>408</v>
      </c>
      <c r="S6" s="11">
        <v>1181.5</v>
      </c>
      <c r="T6" s="11">
        <v>590750</v>
      </c>
      <c r="U6" s="12">
        <v>5.3999999999999999E-2</v>
      </c>
      <c r="V6" s="12">
        <v>0.877</v>
      </c>
      <c r="W6" s="11">
        <v>1178.2</v>
      </c>
      <c r="X6" s="9" t="s">
        <v>288</v>
      </c>
      <c r="Y6" s="10">
        <v>45327</v>
      </c>
      <c r="Z6" s="13">
        <v>0.11700000000000001</v>
      </c>
      <c r="AA6" t="b">
        <v>0</v>
      </c>
      <c r="AB6" t="b">
        <v>0</v>
      </c>
      <c r="AC6" s="9" t="s">
        <v>289</v>
      </c>
      <c r="AD6" s="9" t="s">
        <v>290</v>
      </c>
      <c r="AE6" s="8">
        <v>2194</v>
      </c>
      <c r="AF6" s="14">
        <v>43.316589999999998</v>
      </c>
      <c r="AG6" s="14">
        <v>0.24262</v>
      </c>
      <c r="AH6" s="9" t="s">
        <v>291</v>
      </c>
      <c r="AI6" s="15" t="s">
        <v>319</v>
      </c>
      <c r="AJ6" s="9" t="s">
        <v>293</v>
      </c>
      <c r="AK6" s="9" t="s">
        <v>368</v>
      </c>
      <c r="AL6" s="9" t="s">
        <v>369</v>
      </c>
      <c r="AM6" s="9"/>
      <c r="AN6" s="9" t="s">
        <v>370</v>
      </c>
      <c r="AO6" s="9"/>
      <c r="AP6" s="9" t="s">
        <v>371</v>
      </c>
      <c r="AQ6" s="9" t="s">
        <v>372</v>
      </c>
      <c r="AR6" t="b">
        <v>0</v>
      </c>
      <c r="AS6" s="10"/>
      <c r="AT6" s="10" t="s">
        <v>299</v>
      </c>
      <c r="AU6" s="9"/>
      <c r="AV6" t="b">
        <v>0</v>
      </c>
      <c r="AW6" s="12"/>
      <c r="AX6" s="11"/>
      <c r="AY6" s="9"/>
      <c r="AZ6" t="b">
        <v>0</v>
      </c>
      <c r="BA6" s="9"/>
      <c r="BB6" s="12"/>
      <c r="BC6" s="11"/>
      <c r="BD6" s="9" t="s">
        <v>325</v>
      </c>
      <c r="BE6" s="9" t="s">
        <v>86</v>
      </c>
      <c r="BF6" s="9" t="s">
        <v>373</v>
      </c>
      <c r="BG6" s="9" t="s">
        <v>374</v>
      </c>
      <c r="BH6" s="9" t="s">
        <v>304</v>
      </c>
      <c r="BI6" s="9" t="s">
        <v>328</v>
      </c>
      <c r="BJ6" s="9" t="s">
        <v>329</v>
      </c>
      <c r="BK6" s="11">
        <v>856</v>
      </c>
      <c r="BL6" s="16">
        <v>254.9</v>
      </c>
      <c r="BM6" s="10"/>
      <c r="BN6" s="10"/>
      <c r="BO6" s="10"/>
      <c r="BP6" s="16"/>
      <c r="BQ6" s="16"/>
      <c r="BR6" s="9"/>
      <c r="BS6" s="9"/>
      <c r="BT6" s="9"/>
      <c r="BU6" s="9"/>
      <c r="BV6" s="9"/>
      <c r="BW6" s="10"/>
      <c r="BX6" s="15" t="s">
        <v>375</v>
      </c>
      <c r="BY6" s="10"/>
      <c r="BZ6" s="10"/>
      <c r="CA6" s="10"/>
      <c r="CB6" t="b">
        <v>0</v>
      </c>
      <c r="CC6" s="9" t="s">
        <v>308</v>
      </c>
      <c r="CD6" s="9" t="s">
        <v>309</v>
      </c>
    </row>
    <row r="7" spans="1:82">
      <c r="A7" s="8">
        <v>95955</v>
      </c>
      <c r="B7" s="9" t="s">
        <v>376</v>
      </c>
      <c r="C7" s="9" t="s">
        <v>377</v>
      </c>
      <c r="D7" s="10">
        <v>45953</v>
      </c>
      <c r="E7" s="9" t="s">
        <v>378</v>
      </c>
      <c r="F7" s="9" t="s">
        <v>379</v>
      </c>
      <c r="G7" s="9" t="s">
        <v>380</v>
      </c>
      <c r="H7" s="9" t="s">
        <v>281</v>
      </c>
      <c r="I7" s="9" t="s">
        <v>282</v>
      </c>
      <c r="J7" s="9" t="s">
        <v>283</v>
      </c>
      <c r="K7" s="9" t="s">
        <v>284</v>
      </c>
      <c r="L7" s="9" t="s">
        <v>381</v>
      </c>
      <c r="M7" s="9" t="s">
        <v>382</v>
      </c>
      <c r="N7" s="8">
        <v>1</v>
      </c>
      <c r="O7" s="9" t="s">
        <v>383</v>
      </c>
      <c r="P7" s="11">
        <v>319</v>
      </c>
      <c r="Q7" s="11">
        <v>249</v>
      </c>
      <c r="R7" s="11">
        <v>249</v>
      </c>
      <c r="S7" s="11">
        <v>1145</v>
      </c>
      <c r="T7" s="11">
        <v>365255</v>
      </c>
      <c r="U7" s="12">
        <v>5.3999999999999999E-2</v>
      </c>
      <c r="V7" s="12">
        <v>0.86539999999999995</v>
      </c>
      <c r="W7" s="11">
        <v>1144.1099999999999</v>
      </c>
      <c r="X7" s="9" t="s">
        <v>288</v>
      </c>
      <c r="Y7" s="10">
        <v>45216</v>
      </c>
      <c r="Z7" s="13">
        <v>0.12379999999999999</v>
      </c>
      <c r="AA7" t="b">
        <v>0</v>
      </c>
      <c r="AB7" t="b">
        <v>0</v>
      </c>
      <c r="AC7" s="9" t="s">
        <v>289</v>
      </c>
      <c r="AD7" s="9" t="s">
        <v>290</v>
      </c>
      <c r="AE7" s="8">
        <v>1399</v>
      </c>
      <c r="AF7" s="14">
        <v>44.855550000000001</v>
      </c>
      <c r="AG7" s="14">
        <v>0.43414000000000003</v>
      </c>
      <c r="AH7" s="9" t="s">
        <v>291</v>
      </c>
      <c r="AI7" s="15" t="s">
        <v>319</v>
      </c>
      <c r="AJ7" s="9" t="s">
        <v>293</v>
      </c>
      <c r="AK7" s="9" t="s">
        <v>376</v>
      </c>
      <c r="AL7" s="9" t="s">
        <v>384</v>
      </c>
      <c r="AM7" s="9"/>
      <c r="AN7" s="9" t="s">
        <v>385</v>
      </c>
      <c r="AO7" s="9"/>
      <c r="AP7" s="9" t="s">
        <v>371</v>
      </c>
      <c r="AQ7" s="9" t="s">
        <v>355</v>
      </c>
      <c r="AR7" t="b">
        <v>0</v>
      </c>
      <c r="AS7" s="10"/>
      <c r="AT7" s="10" t="s">
        <v>299</v>
      </c>
      <c r="AU7" s="9"/>
      <c r="AV7" t="b">
        <v>0</v>
      </c>
      <c r="AW7" s="12"/>
      <c r="AX7" s="11"/>
      <c r="AY7" s="9"/>
      <c r="AZ7" t="b">
        <v>0</v>
      </c>
      <c r="BA7" s="9"/>
      <c r="BB7" s="12"/>
      <c r="BC7" s="11"/>
      <c r="BD7" s="9" t="s">
        <v>325</v>
      </c>
      <c r="BE7" s="9" t="s">
        <v>301</v>
      </c>
      <c r="BF7" s="9" t="s">
        <v>373</v>
      </c>
      <c r="BG7" s="9" t="s">
        <v>374</v>
      </c>
      <c r="BH7" s="9" t="s">
        <v>304</v>
      </c>
      <c r="BI7" s="9" t="s">
        <v>386</v>
      </c>
      <c r="BJ7" s="9" t="s">
        <v>387</v>
      </c>
      <c r="BK7" s="11">
        <v>856</v>
      </c>
      <c r="BL7" s="16">
        <v>188.47300000000001</v>
      </c>
      <c r="BM7" s="10"/>
      <c r="BN7" s="10"/>
      <c r="BO7" s="10"/>
      <c r="BP7" s="16"/>
      <c r="BQ7" s="16"/>
      <c r="BR7" s="9"/>
      <c r="BS7" s="9"/>
      <c r="BT7" s="9"/>
      <c r="BU7" s="9"/>
      <c r="BV7" s="9"/>
      <c r="BW7" s="10"/>
      <c r="BX7" s="15" t="s">
        <v>388</v>
      </c>
      <c r="BY7" s="10"/>
      <c r="BZ7" s="10"/>
      <c r="CA7" s="10"/>
      <c r="CB7" t="b">
        <v>0</v>
      </c>
      <c r="CC7" s="9" t="s">
        <v>308</v>
      </c>
      <c r="CD7" s="9" t="s">
        <v>309</v>
      </c>
    </row>
    <row r="8" spans="1:82">
      <c r="A8" s="8">
        <v>33087</v>
      </c>
      <c r="B8" s="9" t="s">
        <v>389</v>
      </c>
      <c r="C8" s="9" t="s">
        <v>277</v>
      </c>
      <c r="D8" s="10">
        <v>45952</v>
      </c>
      <c r="E8" s="9" t="s">
        <v>390</v>
      </c>
      <c r="F8" s="9" t="s">
        <v>391</v>
      </c>
      <c r="G8" s="9" t="s">
        <v>392</v>
      </c>
      <c r="H8" s="9" t="s">
        <v>281</v>
      </c>
      <c r="I8" s="9" t="s">
        <v>282</v>
      </c>
      <c r="J8" s="9" t="s">
        <v>283</v>
      </c>
      <c r="K8" s="9" t="s">
        <v>284</v>
      </c>
      <c r="L8" s="9" t="s">
        <v>393</v>
      </c>
      <c r="M8" s="9" t="s">
        <v>394</v>
      </c>
      <c r="N8" s="8">
        <v>2</v>
      </c>
      <c r="O8" s="9" t="s">
        <v>395</v>
      </c>
      <c r="P8" s="11">
        <v>499.59</v>
      </c>
      <c r="Q8" s="11">
        <v>440</v>
      </c>
      <c r="R8" s="11">
        <v>417.6</v>
      </c>
      <c r="S8" s="11">
        <v>1209</v>
      </c>
      <c r="T8" s="11">
        <v>604004.31000000006</v>
      </c>
      <c r="U8" s="12">
        <v>5.3999999999999999E-2</v>
      </c>
      <c r="V8" s="12">
        <v>0.87609999999999999</v>
      </c>
      <c r="W8" s="11">
        <v>1191.44</v>
      </c>
      <c r="X8" s="9" t="s">
        <v>288</v>
      </c>
      <c r="Y8" s="10">
        <v>45036</v>
      </c>
      <c r="Z8" s="13">
        <v>0.13120000000000001</v>
      </c>
      <c r="AA8" t="b">
        <v>0</v>
      </c>
      <c r="AB8" t="b">
        <v>0</v>
      </c>
      <c r="AC8" s="9" t="s">
        <v>289</v>
      </c>
      <c r="AD8" s="9" t="s">
        <v>290</v>
      </c>
      <c r="AE8" s="8">
        <v>2193.922</v>
      </c>
      <c r="AF8" s="14">
        <v>46.646740000000001</v>
      </c>
      <c r="AG8" s="14">
        <v>3.6787299999999998</v>
      </c>
      <c r="AH8" s="9" t="s">
        <v>291</v>
      </c>
      <c r="AI8" s="15" t="s">
        <v>396</v>
      </c>
      <c r="AJ8" s="9" t="s">
        <v>293</v>
      </c>
      <c r="AK8" s="9" t="s">
        <v>397</v>
      </c>
      <c r="AL8" s="9" t="s">
        <v>398</v>
      </c>
      <c r="AM8" s="9"/>
      <c r="AN8" s="9" t="s">
        <v>399</v>
      </c>
      <c r="AO8" s="9" t="s">
        <v>400</v>
      </c>
      <c r="AP8" s="9" t="s">
        <v>68</v>
      </c>
      <c r="AQ8" s="9" t="s">
        <v>401</v>
      </c>
      <c r="AR8" t="b">
        <v>0</v>
      </c>
      <c r="AS8" s="10"/>
      <c r="AT8" s="10" t="s">
        <v>299</v>
      </c>
      <c r="AU8" s="9"/>
      <c r="AV8" t="b">
        <v>0</v>
      </c>
      <c r="AW8" s="12"/>
      <c r="AX8" s="11"/>
      <c r="AY8" s="9"/>
      <c r="AZ8" t="b">
        <v>0</v>
      </c>
      <c r="BA8" s="9"/>
      <c r="BB8" s="12"/>
      <c r="BC8" s="11"/>
      <c r="BD8" s="9" t="s">
        <v>300</v>
      </c>
      <c r="BE8" s="9" t="s">
        <v>301</v>
      </c>
      <c r="BF8" s="9" t="s">
        <v>402</v>
      </c>
      <c r="BG8" s="9" t="s">
        <v>303</v>
      </c>
      <c r="BH8" s="9" t="s">
        <v>304</v>
      </c>
      <c r="BI8" s="9" t="s">
        <v>305</v>
      </c>
      <c r="BJ8" s="9" t="s">
        <v>306</v>
      </c>
      <c r="BK8" s="11">
        <v>856</v>
      </c>
      <c r="BL8" s="16">
        <v>254.74952999999999</v>
      </c>
      <c r="BM8" s="10"/>
      <c r="BN8" s="10"/>
      <c r="BO8" s="10"/>
      <c r="BP8" s="16"/>
      <c r="BQ8" s="16"/>
      <c r="BR8" s="9"/>
      <c r="BS8" s="9"/>
      <c r="BT8" s="9"/>
      <c r="BU8" s="9"/>
      <c r="BV8" s="9"/>
      <c r="BW8" s="10"/>
      <c r="BX8" s="15" t="s">
        <v>403</v>
      </c>
      <c r="BY8" s="10"/>
      <c r="BZ8" s="10"/>
      <c r="CA8" s="10"/>
      <c r="CB8" t="b">
        <v>0</v>
      </c>
      <c r="CC8" s="9" t="s">
        <v>308</v>
      </c>
      <c r="CD8" s="9" t="s">
        <v>309</v>
      </c>
    </row>
    <row r="9" spans="1:82">
      <c r="A9" s="8">
        <v>3405</v>
      </c>
      <c r="B9" s="9" t="s">
        <v>404</v>
      </c>
      <c r="C9" s="9" t="s">
        <v>405</v>
      </c>
      <c r="D9" s="10">
        <v>45952</v>
      </c>
      <c r="E9" s="9" t="s">
        <v>406</v>
      </c>
      <c r="F9" s="9" t="s">
        <v>407</v>
      </c>
      <c r="G9" s="9" t="s">
        <v>408</v>
      </c>
      <c r="H9" s="9" t="s">
        <v>281</v>
      </c>
      <c r="I9" s="9" t="s">
        <v>282</v>
      </c>
      <c r="J9" s="9" t="s">
        <v>283</v>
      </c>
      <c r="K9" s="9" t="s">
        <v>284</v>
      </c>
      <c r="L9" s="9" t="s">
        <v>409</v>
      </c>
      <c r="M9" s="9" t="s">
        <v>410</v>
      </c>
      <c r="N9" s="8">
        <v>1</v>
      </c>
      <c r="O9" s="9" t="s">
        <v>411</v>
      </c>
      <c r="P9" s="11">
        <v>264</v>
      </c>
      <c r="Q9" s="11">
        <v>220</v>
      </c>
      <c r="R9" s="11">
        <v>220</v>
      </c>
      <c r="S9" s="11">
        <v>1258</v>
      </c>
      <c r="T9" s="11">
        <v>332112</v>
      </c>
      <c r="U9" s="12">
        <v>5.3999999999999999E-2</v>
      </c>
      <c r="V9" s="12">
        <v>0.88539999999999996</v>
      </c>
      <c r="W9" s="11">
        <v>1258</v>
      </c>
      <c r="X9" s="9" t="s">
        <v>288</v>
      </c>
      <c r="Y9" s="10">
        <v>45252</v>
      </c>
      <c r="Z9" s="13">
        <v>0.1208</v>
      </c>
      <c r="AA9" t="b">
        <v>0</v>
      </c>
      <c r="AB9" t="b">
        <v>0</v>
      </c>
      <c r="AC9" s="9" t="s">
        <v>289</v>
      </c>
      <c r="AD9" s="9" t="s">
        <v>290</v>
      </c>
      <c r="AE9" s="8">
        <v>1159</v>
      </c>
      <c r="AF9" s="14">
        <v>43.870730000000002</v>
      </c>
      <c r="AG9" s="14">
        <v>1.4303600000000001</v>
      </c>
      <c r="AH9" s="9" t="s">
        <v>351</v>
      </c>
      <c r="AI9" s="15" t="s">
        <v>319</v>
      </c>
      <c r="AJ9" s="9" t="s">
        <v>293</v>
      </c>
      <c r="AK9" s="9" t="s">
        <v>412</v>
      </c>
      <c r="AL9" s="9" t="s">
        <v>413</v>
      </c>
      <c r="AM9" s="9"/>
      <c r="AN9" s="9" t="s">
        <v>414</v>
      </c>
      <c r="AO9" s="9"/>
      <c r="AP9" s="9" t="s">
        <v>415</v>
      </c>
      <c r="AQ9" s="9" t="s">
        <v>355</v>
      </c>
      <c r="AR9" t="b">
        <v>0</v>
      </c>
      <c r="AS9" s="10"/>
      <c r="AT9" s="10" t="s">
        <v>299</v>
      </c>
      <c r="AU9" s="9"/>
      <c r="AV9" t="b">
        <v>0</v>
      </c>
      <c r="AW9" s="12"/>
      <c r="AX9" s="11"/>
      <c r="AY9" s="9"/>
      <c r="AZ9" t="b">
        <v>0</v>
      </c>
      <c r="BA9" s="9"/>
      <c r="BB9" s="12"/>
      <c r="BC9" s="11"/>
      <c r="BD9" s="9" t="s">
        <v>325</v>
      </c>
      <c r="BE9" s="9" t="s">
        <v>301</v>
      </c>
      <c r="BF9" s="9" t="s">
        <v>373</v>
      </c>
      <c r="BG9" s="9" t="s">
        <v>416</v>
      </c>
      <c r="BH9" s="9" t="s">
        <v>304</v>
      </c>
      <c r="BI9" s="9" t="s">
        <v>417</v>
      </c>
      <c r="BJ9" s="9" t="s">
        <v>418</v>
      </c>
      <c r="BK9" s="11">
        <v>856</v>
      </c>
      <c r="BL9" s="16">
        <v>168.28800000000001</v>
      </c>
      <c r="BM9" s="10"/>
      <c r="BN9" s="10"/>
      <c r="BO9" s="10"/>
      <c r="BP9" s="16"/>
      <c r="BQ9" s="16"/>
      <c r="BR9" s="9"/>
      <c r="BS9" s="9"/>
      <c r="BT9" s="9"/>
      <c r="BU9" s="9"/>
      <c r="BV9" s="9"/>
      <c r="BW9" s="10"/>
      <c r="BX9" s="15" t="s">
        <v>419</v>
      </c>
      <c r="BY9" s="10"/>
      <c r="BZ9" s="10"/>
      <c r="CA9" s="10"/>
      <c r="CB9" t="b">
        <v>0</v>
      </c>
      <c r="CC9" s="9" t="s">
        <v>308</v>
      </c>
      <c r="CD9" s="9" t="s">
        <v>309</v>
      </c>
    </row>
    <row r="10" spans="1:82">
      <c r="A10" s="8">
        <v>99375</v>
      </c>
      <c r="B10" s="9" t="s">
        <v>420</v>
      </c>
      <c r="C10" s="9" t="s">
        <v>311</v>
      </c>
      <c r="D10" s="10">
        <v>45951</v>
      </c>
      <c r="E10" s="9" t="s">
        <v>421</v>
      </c>
      <c r="F10" s="9" t="s">
        <v>422</v>
      </c>
      <c r="G10" s="9" t="s">
        <v>423</v>
      </c>
      <c r="H10" s="9" t="s">
        <v>315</v>
      </c>
      <c r="I10" s="9" t="s">
        <v>282</v>
      </c>
      <c r="J10" s="9" t="s">
        <v>283</v>
      </c>
      <c r="K10" s="9" t="s">
        <v>284</v>
      </c>
      <c r="L10" s="9" t="s">
        <v>424</v>
      </c>
      <c r="M10" s="9" t="s">
        <v>425</v>
      </c>
      <c r="N10" s="8">
        <v>1</v>
      </c>
      <c r="O10" s="9" t="s">
        <v>426</v>
      </c>
      <c r="P10" s="11">
        <v>106</v>
      </c>
      <c r="Q10" s="11">
        <v>99</v>
      </c>
      <c r="R10" s="11">
        <v>99</v>
      </c>
      <c r="S10" s="11">
        <v>1175</v>
      </c>
      <c r="T10" s="11">
        <v>124550</v>
      </c>
      <c r="U10" s="12">
        <v>5.3999999999999999E-2</v>
      </c>
      <c r="V10" s="12">
        <v>0.85089999999999999</v>
      </c>
      <c r="W10" s="11">
        <v>1175</v>
      </c>
      <c r="X10" s="9" t="s">
        <v>288</v>
      </c>
      <c r="Y10" s="10">
        <v>45226</v>
      </c>
      <c r="Z10" s="13">
        <v>0.12379999999999999</v>
      </c>
      <c r="AA10" t="b">
        <v>0</v>
      </c>
      <c r="AB10" t="b">
        <v>0</v>
      </c>
      <c r="AC10" s="9" t="s">
        <v>289</v>
      </c>
      <c r="AD10" s="9" t="s">
        <v>290</v>
      </c>
      <c r="AE10" s="8">
        <v>468</v>
      </c>
      <c r="AF10" s="14">
        <v>43.048299999999998</v>
      </c>
      <c r="AG10" s="14">
        <v>0.85250000000000004</v>
      </c>
      <c r="AH10" s="9" t="s">
        <v>291</v>
      </c>
      <c r="AI10" s="15" t="s">
        <v>319</v>
      </c>
      <c r="AJ10" s="9" t="s">
        <v>293</v>
      </c>
      <c r="AK10" s="9" t="s">
        <v>427</v>
      </c>
      <c r="AL10" s="9" t="s">
        <v>428</v>
      </c>
      <c r="AM10" s="9"/>
      <c r="AN10" s="9" t="s">
        <v>429</v>
      </c>
      <c r="AO10" s="9"/>
      <c r="AP10" s="9" t="s">
        <v>108</v>
      </c>
      <c r="AQ10" s="9" t="s">
        <v>341</v>
      </c>
      <c r="AR10" t="b">
        <v>0</v>
      </c>
      <c r="AS10" s="10"/>
      <c r="AT10" s="10" t="s">
        <v>299</v>
      </c>
      <c r="AU10" s="9"/>
      <c r="AV10" t="b">
        <v>0</v>
      </c>
      <c r="AW10" s="12"/>
      <c r="AX10" s="11"/>
      <c r="AY10" s="9"/>
      <c r="AZ10" t="b">
        <v>0</v>
      </c>
      <c r="BA10" s="9"/>
      <c r="BB10" s="12"/>
      <c r="BC10" s="11"/>
      <c r="BD10" s="9" t="s">
        <v>325</v>
      </c>
      <c r="BE10" s="9" t="s">
        <v>86</v>
      </c>
      <c r="BF10" s="9" t="s">
        <v>373</v>
      </c>
      <c r="BG10" s="9" t="s">
        <v>416</v>
      </c>
      <c r="BH10" s="9" t="s">
        <v>304</v>
      </c>
      <c r="BI10" s="9" t="s">
        <v>328</v>
      </c>
      <c r="BJ10" s="9" t="s">
        <v>329</v>
      </c>
      <c r="BK10" s="11">
        <v>856</v>
      </c>
      <c r="BL10" s="16">
        <v>110.30200000000001</v>
      </c>
      <c r="BM10" s="10"/>
      <c r="BN10" s="10"/>
      <c r="BO10" s="10"/>
      <c r="BP10" s="16"/>
      <c r="BQ10" s="16"/>
      <c r="BR10" s="9"/>
      <c r="BS10" s="9"/>
      <c r="BT10" s="9"/>
      <c r="BU10" s="9"/>
      <c r="BV10" s="9"/>
      <c r="BW10" s="10"/>
      <c r="BX10" s="15" t="s">
        <v>430</v>
      </c>
      <c r="BY10" s="10"/>
      <c r="BZ10" s="10"/>
      <c r="CA10" s="10"/>
      <c r="CB10" t="b">
        <v>0</v>
      </c>
      <c r="CC10" s="9" t="s">
        <v>308</v>
      </c>
      <c r="CD10" s="9" t="s">
        <v>309</v>
      </c>
    </row>
    <row r="11" spans="1:82">
      <c r="A11" s="8">
        <v>95611</v>
      </c>
      <c r="B11" s="9" t="s">
        <v>431</v>
      </c>
      <c r="C11" s="9" t="s">
        <v>377</v>
      </c>
      <c r="D11" s="10">
        <v>45946</v>
      </c>
      <c r="E11" s="9" t="s">
        <v>432</v>
      </c>
      <c r="F11" s="9" t="s">
        <v>433</v>
      </c>
      <c r="G11" s="9" t="s">
        <v>434</v>
      </c>
      <c r="H11" s="9" t="s">
        <v>281</v>
      </c>
      <c r="I11" s="9" t="s">
        <v>282</v>
      </c>
      <c r="J11" s="9" t="s">
        <v>283</v>
      </c>
      <c r="K11" s="9" t="s">
        <v>284</v>
      </c>
      <c r="L11" s="9" t="s">
        <v>435</v>
      </c>
      <c r="M11" s="9" t="s">
        <v>436</v>
      </c>
      <c r="N11" s="8">
        <v>1</v>
      </c>
      <c r="O11" s="9" t="s">
        <v>437</v>
      </c>
      <c r="P11" s="11">
        <v>309</v>
      </c>
      <c r="Q11" s="11">
        <v>249</v>
      </c>
      <c r="R11" s="11">
        <v>249</v>
      </c>
      <c r="S11" s="11">
        <v>1166</v>
      </c>
      <c r="T11" s="11">
        <v>360294</v>
      </c>
      <c r="U11" s="12">
        <v>5.3999999999999999E-2</v>
      </c>
      <c r="V11" s="12">
        <v>0.86850000000000005</v>
      </c>
      <c r="W11" s="11">
        <v>1159.9000000000001</v>
      </c>
      <c r="X11" s="9" t="s">
        <v>288</v>
      </c>
      <c r="Y11" s="10">
        <v>45335</v>
      </c>
      <c r="Z11" s="13">
        <v>0.1174</v>
      </c>
      <c r="AA11" t="b">
        <v>0</v>
      </c>
      <c r="AB11" t="b">
        <v>0</v>
      </c>
      <c r="AC11" s="9" t="s">
        <v>289</v>
      </c>
      <c r="AD11" s="9" t="s">
        <v>290</v>
      </c>
      <c r="AE11" s="8">
        <v>1359</v>
      </c>
      <c r="AF11" s="14">
        <v>44.655161999999997</v>
      </c>
      <c r="AG11" s="14">
        <v>4.9252999999999998E-2</v>
      </c>
      <c r="AH11" s="9" t="s">
        <v>291</v>
      </c>
      <c r="AI11" s="15" t="s">
        <v>319</v>
      </c>
      <c r="AJ11" s="9" t="s">
        <v>293</v>
      </c>
      <c r="AK11" s="9" t="s">
        <v>438</v>
      </c>
      <c r="AL11" s="9" t="s">
        <v>439</v>
      </c>
      <c r="AM11" s="9"/>
      <c r="AN11" s="9" t="s">
        <v>440</v>
      </c>
      <c r="AO11" s="9"/>
      <c r="AP11" s="9" t="s">
        <v>113</v>
      </c>
      <c r="AQ11" s="9" t="s">
        <v>298</v>
      </c>
      <c r="AR11" t="b">
        <v>0</v>
      </c>
      <c r="AS11" s="10"/>
      <c r="AT11" s="10" t="s">
        <v>299</v>
      </c>
      <c r="AU11" s="9"/>
      <c r="AV11" t="b">
        <v>0</v>
      </c>
      <c r="AW11" s="12"/>
      <c r="AX11" s="11"/>
      <c r="AY11" s="9"/>
      <c r="AZ11" t="b">
        <v>0</v>
      </c>
      <c r="BA11" s="9"/>
      <c r="BB11" s="12"/>
      <c r="BC11" s="11"/>
      <c r="BD11" s="9" t="s">
        <v>325</v>
      </c>
      <c r="BE11" s="9" t="s">
        <v>301</v>
      </c>
      <c r="BF11" s="9" t="s">
        <v>302</v>
      </c>
      <c r="BG11" s="9" t="s">
        <v>374</v>
      </c>
      <c r="BH11" s="9" t="s">
        <v>304</v>
      </c>
      <c r="BI11" s="9" t="s">
        <v>386</v>
      </c>
      <c r="BJ11" s="9" t="s">
        <v>387</v>
      </c>
      <c r="BK11" s="11">
        <v>856</v>
      </c>
      <c r="BL11" s="16">
        <v>184.803</v>
      </c>
      <c r="BM11" s="10"/>
      <c r="BN11" s="10"/>
      <c r="BO11" s="10"/>
      <c r="BP11" s="16"/>
      <c r="BQ11" s="16"/>
      <c r="BR11" s="9"/>
      <c r="BS11" s="9"/>
      <c r="BT11" s="9"/>
      <c r="BU11" s="9"/>
      <c r="BV11" s="9"/>
      <c r="BW11" s="10"/>
      <c r="BX11" s="15" t="s">
        <v>441</v>
      </c>
      <c r="BY11" s="10"/>
      <c r="BZ11" s="10"/>
      <c r="CA11" s="10"/>
      <c r="CB11" t="b">
        <v>0</v>
      </c>
      <c r="CC11" s="9" t="s">
        <v>308</v>
      </c>
      <c r="CD11" s="9" t="s">
        <v>309</v>
      </c>
    </row>
    <row r="12" spans="1:82">
      <c r="A12" s="8">
        <v>95610</v>
      </c>
      <c r="B12" s="9" t="s">
        <v>431</v>
      </c>
      <c r="C12" s="9" t="s">
        <v>344</v>
      </c>
      <c r="D12" s="10">
        <v>45946</v>
      </c>
      <c r="E12" s="9" t="s">
        <v>432</v>
      </c>
      <c r="F12" s="9" t="s">
        <v>433</v>
      </c>
      <c r="G12" s="9" t="s">
        <v>434</v>
      </c>
      <c r="H12" s="9" t="s">
        <v>281</v>
      </c>
      <c r="I12" s="9" t="s">
        <v>282</v>
      </c>
      <c r="J12" s="9" t="s">
        <v>283</v>
      </c>
      <c r="K12" s="9" t="s">
        <v>284</v>
      </c>
      <c r="L12" s="9" t="s">
        <v>442</v>
      </c>
      <c r="M12" s="9" t="s">
        <v>443</v>
      </c>
      <c r="N12" s="8">
        <v>2</v>
      </c>
      <c r="O12" s="9" t="s">
        <v>444</v>
      </c>
      <c r="P12" s="11">
        <v>499</v>
      </c>
      <c r="Q12" s="11">
        <v>440</v>
      </c>
      <c r="R12" s="11">
        <v>410</v>
      </c>
      <c r="S12" s="11">
        <v>1254</v>
      </c>
      <c r="T12" s="11">
        <v>625746</v>
      </c>
      <c r="U12" s="12">
        <v>5.3999999999999999E-2</v>
      </c>
      <c r="V12" s="12">
        <v>0.83819999999999995</v>
      </c>
      <c r="W12" s="11">
        <v>1214.8900000000001</v>
      </c>
      <c r="X12" s="9" t="s">
        <v>288</v>
      </c>
      <c r="Y12" s="10">
        <v>45335</v>
      </c>
      <c r="Z12" s="13">
        <v>0.11700000000000001</v>
      </c>
      <c r="AA12" t="b">
        <v>0</v>
      </c>
      <c r="AB12" t="b">
        <v>0</v>
      </c>
      <c r="AC12" s="9" t="s">
        <v>289</v>
      </c>
      <c r="AD12" s="9" t="s">
        <v>290</v>
      </c>
      <c r="AE12" s="8">
        <v>2194</v>
      </c>
      <c r="AF12" s="14">
        <v>44.655929999999998</v>
      </c>
      <c r="AG12" s="14">
        <v>4.9860000000000002E-2</v>
      </c>
      <c r="AH12" s="9" t="s">
        <v>351</v>
      </c>
      <c r="AI12" s="15" t="s">
        <v>319</v>
      </c>
      <c r="AJ12" s="9" t="s">
        <v>293</v>
      </c>
      <c r="AK12" s="9" t="s">
        <v>438</v>
      </c>
      <c r="AL12" s="9" t="s">
        <v>439</v>
      </c>
      <c r="AM12" s="9"/>
      <c r="AN12" s="9" t="s">
        <v>440</v>
      </c>
      <c r="AO12" s="9"/>
      <c r="AP12" s="9" t="s">
        <v>113</v>
      </c>
      <c r="AQ12" s="9" t="s">
        <v>298</v>
      </c>
      <c r="AR12" t="b">
        <v>0</v>
      </c>
      <c r="AS12" s="10"/>
      <c r="AT12" s="10" t="s">
        <v>299</v>
      </c>
      <c r="AU12" s="9"/>
      <c r="AV12" t="b">
        <v>0</v>
      </c>
      <c r="AW12" s="12"/>
      <c r="AX12" s="11"/>
      <c r="AY12" s="9"/>
      <c r="AZ12" t="b">
        <v>0</v>
      </c>
      <c r="BA12" s="9"/>
      <c r="BB12" s="12"/>
      <c r="BC12" s="11"/>
      <c r="BD12" s="9" t="s">
        <v>325</v>
      </c>
      <c r="BE12" s="9" t="s">
        <v>86</v>
      </c>
      <c r="BF12" s="9" t="s">
        <v>302</v>
      </c>
      <c r="BG12" s="9" t="s">
        <v>374</v>
      </c>
      <c r="BH12" s="9" t="s">
        <v>304</v>
      </c>
      <c r="BI12" s="9" t="s">
        <v>358</v>
      </c>
      <c r="BJ12" s="9" t="s">
        <v>359</v>
      </c>
      <c r="BK12" s="11">
        <v>856</v>
      </c>
      <c r="BL12" s="16">
        <v>254.53299999999999</v>
      </c>
      <c r="BM12" s="10"/>
      <c r="BN12" s="10"/>
      <c r="BO12" s="10"/>
      <c r="BP12" s="16"/>
      <c r="BQ12" s="16"/>
      <c r="BR12" s="9"/>
      <c r="BS12" s="9"/>
      <c r="BT12" s="9"/>
      <c r="BU12" s="9"/>
      <c r="BV12" s="9"/>
      <c r="BW12" s="10"/>
      <c r="BX12" s="15" t="s">
        <v>445</v>
      </c>
      <c r="BY12" s="10"/>
      <c r="BZ12" s="10"/>
      <c r="CA12" s="10"/>
      <c r="CB12" t="b">
        <v>0</v>
      </c>
      <c r="CC12" s="9" t="s">
        <v>308</v>
      </c>
      <c r="CD12" s="9" t="s">
        <v>309</v>
      </c>
    </row>
    <row r="13" spans="1:82">
      <c r="A13" s="8">
        <v>94563</v>
      </c>
      <c r="B13" s="9" t="s">
        <v>446</v>
      </c>
      <c r="C13" s="9" t="s">
        <v>377</v>
      </c>
      <c r="D13" s="10">
        <v>45945</v>
      </c>
      <c r="E13" s="9" t="s">
        <v>447</v>
      </c>
      <c r="F13" s="9" t="s">
        <v>448</v>
      </c>
      <c r="G13" s="9" t="s">
        <v>449</v>
      </c>
      <c r="H13" s="9" t="s">
        <v>315</v>
      </c>
      <c r="I13" s="9" t="s">
        <v>282</v>
      </c>
      <c r="J13" s="9" t="s">
        <v>283</v>
      </c>
      <c r="K13" s="9" t="s">
        <v>284</v>
      </c>
      <c r="L13" s="9" t="s">
        <v>450</v>
      </c>
      <c r="M13" s="9" t="s">
        <v>451</v>
      </c>
      <c r="N13" s="8">
        <v>2</v>
      </c>
      <c r="O13" s="9" t="s">
        <v>452</v>
      </c>
      <c r="P13" s="11">
        <v>386</v>
      </c>
      <c r="Q13" s="11">
        <v>370</v>
      </c>
      <c r="R13" s="11">
        <v>330</v>
      </c>
      <c r="S13" s="11">
        <v>1148.5</v>
      </c>
      <c r="T13" s="11">
        <v>443321</v>
      </c>
      <c r="U13" s="12">
        <v>5.3999999999999999E-2</v>
      </c>
      <c r="V13" s="12">
        <v>0.88180000000000003</v>
      </c>
      <c r="W13" s="11">
        <v>1165.76</v>
      </c>
      <c r="X13" s="9" t="s">
        <v>288</v>
      </c>
      <c r="Y13" s="10">
        <v>44767</v>
      </c>
      <c r="Z13" s="13">
        <v>0.13120000000000001</v>
      </c>
      <c r="AA13" t="b">
        <v>0</v>
      </c>
      <c r="AB13" t="b">
        <v>0</v>
      </c>
      <c r="AC13" s="9" t="s">
        <v>289</v>
      </c>
      <c r="AD13" s="9" t="s">
        <v>290</v>
      </c>
      <c r="AE13" s="8">
        <v>1696</v>
      </c>
      <c r="AF13" s="14">
        <v>44.972369999999998</v>
      </c>
      <c r="AG13" s="14">
        <v>3.50346</v>
      </c>
      <c r="AH13" s="9" t="s">
        <v>291</v>
      </c>
      <c r="AI13" s="15" t="s">
        <v>319</v>
      </c>
      <c r="AJ13" s="9" t="s">
        <v>293</v>
      </c>
      <c r="AK13" s="9" t="s">
        <v>453</v>
      </c>
      <c r="AL13" s="9" t="s">
        <v>454</v>
      </c>
      <c r="AM13" s="9"/>
      <c r="AN13" s="9" t="s">
        <v>455</v>
      </c>
      <c r="AO13" s="9" t="s">
        <v>456</v>
      </c>
      <c r="AP13" s="9" t="s">
        <v>68</v>
      </c>
      <c r="AQ13" s="9" t="s">
        <v>68</v>
      </c>
      <c r="AR13" t="b">
        <v>0</v>
      </c>
      <c r="AS13" s="10"/>
      <c r="AT13" s="10" t="s">
        <v>299</v>
      </c>
      <c r="AU13" s="9"/>
      <c r="AV13" t="b">
        <v>0</v>
      </c>
      <c r="AW13" s="12"/>
      <c r="AX13" s="11"/>
      <c r="AY13" s="9"/>
      <c r="AZ13" t="b">
        <v>0</v>
      </c>
      <c r="BA13" s="9"/>
      <c r="BB13" s="12"/>
      <c r="BC13" s="11"/>
      <c r="BD13" s="9" t="s">
        <v>325</v>
      </c>
      <c r="BE13" s="9" t="s">
        <v>301</v>
      </c>
      <c r="BF13" s="9" t="s">
        <v>457</v>
      </c>
      <c r="BG13" s="9" t="s">
        <v>327</v>
      </c>
      <c r="BH13" s="9" t="s">
        <v>304</v>
      </c>
      <c r="BI13" s="9" t="s">
        <v>386</v>
      </c>
      <c r="BJ13" s="9" t="s">
        <v>387</v>
      </c>
      <c r="BK13" s="11">
        <v>856</v>
      </c>
      <c r="BL13" s="16">
        <v>213.06200000000001</v>
      </c>
      <c r="BM13" s="10"/>
      <c r="BN13" s="10"/>
      <c r="BO13" s="10"/>
      <c r="BP13" s="16"/>
      <c r="BQ13" s="16"/>
      <c r="BR13" s="9"/>
      <c r="BS13" s="9"/>
      <c r="BT13" s="9"/>
      <c r="BU13" s="9"/>
      <c r="BV13" s="9"/>
      <c r="BW13" s="10"/>
      <c r="BX13" s="15" t="s">
        <v>458</v>
      </c>
      <c r="BY13" s="10"/>
      <c r="BZ13" s="10"/>
      <c r="CA13" s="10"/>
      <c r="CB13" t="b">
        <v>0</v>
      </c>
      <c r="CC13" s="9" t="s">
        <v>308</v>
      </c>
      <c r="CD13" s="9" t="s">
        <v>309</v>
      </c>
    </row>
    <row r="14" spans="1:82">
      <c r="A14" s="8">
        <v>99435</v>
      </c>
      <c r="B14" s="9" t="s">
        <v>459</v>
      </c>
      <c r="C14" s="9" t="s">
        <v>311</v>
      </c>
      <c r="D14" s="10">
        <v>45943</v>
      </c>
      <c r="E14" s="9" t="s">
        <v>460</v>
      </c>
      <c r="F14" s="9" t="s">
        <v>461</v>
      </c>
      <c r="G14" s="9" t="s">
        <v>462</v>
      </c>
      <c r="H14" s="9" t="s">
        <v>315</v>
      </c>
      <c r="I14" s="9" t="s">
        <v>282</v>
      </c>
      <c r="J14" s="9" t="s">
        <v>283</v>
      </c>
      <c r="K14" s="9" t="s">
        <v>284</v>
      </c>
      <c r="L14" s="9" t="s">
        <v>463</v>
      </c>
      <c r="M14" s="9" t="s">
        <v>464</v>
      </c>
      <c r="N14" s="8">
        <v>1</v>
      </c>
      <c r="O14" s="9" t="s">
        <v>465</v>
      </c>
      <c r="P14" s="11">
        <v>345</v>
      </c>
      <c r="Q14" s="11">
        <v>249</v>
      </c>
      <c r="R14" s="11">
        <v>249</v>
      </c>
      <c r="S14" s="11">
        <v>1182</v>
      </c>
      <c r="T14" s="11">
        <v>407790</v>
      </c>
      <c r="U14" s="12">
        <v>5.3999999999999999E-2</v>
      </c>
      <c r="V14" s="12">
        <v>0.875</v>
      </c>
      <c r="W14" s="11">
        <v>1191.5</v>
      </c>
      <c r="X14" s="9" t="s">
        <v>288</v>
      </c>
      <c r="Y14" s="10">
        <v>45163</v>
      </c>
      <c r="Z14" s="13">
        <v>0.12379999999999999</v>
      </c>
      <c r="AA14" t="b">
        <v>0</v>
      </c>
      <c r="AB14" t="b">
        <v>0</v>
      </c>
      <c r="AC14" s="9" t="s">
        <v>289</v>
      </c>
      <c r="AD14" s="9" t="s">
        <v>290</v>
      </c>
      <c r="AE14" s="8">
        <v>1517</v>
      </c>
      <c r="AF14" s="14">
        <v>44.592970000000001</v>
      </c>
      <c r="AG14" s="14">
        <v>2.22688</v>
      </c>
      <c r="AH14" s="9" t="s">
        <v>291</v>
      </c>
      <c r="AI14" s="15" t="s">
        <v>319</v>
      </c>
      <c r="AJ14" s="9" t="s">
        <v>293</v>
      </c>
      <c r="AK14" s="9" t="s">
        <v>466</v>
      </c>
      <c r="AL14" s="9" t="s">
        <v>467</v>
      </c>
      <c r="AM14" s="9"/>
      <c r="AN14" s="9" t="s">
        <v>468</v>
      </c>
      <c r="AO14" s="9"/>
      <c r="AP14" s="9" t="s">
        <v>469</v>
      </c>
      <c r="AQ14" s="9" t="s">
        <v>324</v>
      </c>
      <c r="AR14" t="b">
        <v>1</v>
      </c>
      <c r="AS14" s="10">
        <v>46022</v>
      </c>
      <c r="AT14" s="10">
        <v>46022</v>
      </c>
      <c r="AU14" s="9" t="s">
        <v>470</v>
      </c>
      <c r="AV14" t="b">
        <v>0</v>
      </c>
      <c r="AW14" s="12"/>
      <c r="AX14" s="11">
        <v>4312.5</v>
      </c>
      <c r="AY14" s="9" t="s">
        <v>471</v>
      </c>
      <c r="AZ14" t="b">
        <v>1</v>
      </c>
      <c r="BA14" s="9" t="s">
        <v>472</v>
      </c>
      <c r="BB14" s="12"/>
      <c r="BC14" s="11"/>
      <c r="BD14" s="9" t="s">
        <v>325</v>
      </c>
      <c r="BE14" s="9" t="s">
        <v>86</v>
      </c>
      <c r="BF14" s="9" t="s">
        <v>326</v>
      </c>
      <c r="BG14" s="9" t="s">
        <v>416</v>
      </c>
      <c r="BH14" s="9" t="s">
        <v>304</v>
      </c>
      <c r="BI14" s="9" t="s">
        <v>328</v>
      </c>
      <c r="BJ14" s="9" t="s">
        <v>329</v>
      </c>
      <c r="BK14" s="11">
        <v>856</v>
      </c>
      <c r="BL14" s="16">
        <v>198.01499999999999</v>
      </c>
      <c r="BM14" s="10"/>
      <c r="BN14" s="10"/>
      <c r="BO14" s="10"/>
      <c r="BP14" s="16"/>
      <c r="BQ14" s="16"/>
      <c r="BR14" s="9"/>
      <c r="BS14" s="9"/>
      <c r="BT14" s="9"/>
      <c r="BU14" s="9"/>
      <c r="BV14" s="9"/>
      <c r="BW14" s="10"/>
      <c r="BX14" s="15" t="s">
        <v>473</v>
      </c>
      <c r="BY14" s="10"/>
      <c r="BZ14" s="10"/>
      <c r="CA14" s="10"/>
      <c r="CB14" t="b">
        <v>1</v>
      </c>
      <c r="CC14" s="9" t="s">
        <v>308</v>
      </c>
      <c r="CD14" s="9" t="s">
        <v>309</v>
      </c>
    </row>
    <row r="15" spans="1:82" ht="29.1">
      <c r="A15" s="8">
        <v>83798</v>
      </c>
      <c r="B15" s="9" t="s">
        <v>474</v>
      </c>
      <c r="C15" s="9" t="s">
        <v>475</v>
      </c>
      <c r="D15" s="10">
        <v>45938</v>
      </c>
      <c r="E15" s="9" t="s">
        <v>476</v>
      </c>
      <c r="F15" s="9" t="s">
        <v>477</v>
      </c>
      <c r="G15" s="9" t="s">
        <v>478</v>
      </c>
      <c r="H15" s="9" t="s">
        <v>479</v>
      </c>
      <c r="I15" s="9" t="s">
        <v>282</v>
      </c>
      <c r="J15" s="9" t="s">
        <v>283</v>
      </c>
      <c r="K15" s="9" t="s">
        <v>284</v>
      </c>
      <c r="L15" s="9" t="s">
        <v>480</v>
      </c>
      <c r="M15" s="9" t="s">
        <v>481</v>
      </c>
      <c r="N15" s="8">
        <v>1</v>
      </c>
      <c r="O15" s="9" t="s">
        <v>482</v>
      </c>
      <c r="P15" s="11">
        <v>339.47</v>
      </c>
      <c r="Q15" s="11">
        <v>330</v>
      </c>
      <c r="R15" s="11">
        <v>249.9</v>
      </c>
      <c r="S15" s="11">
        <v>1335</v>
      </c>
      <c r="T15" s="11">
        <v>453192.45</v>
      </c>
      <c r="U15" s="12">
        <v>5.2999999999999999E-2</v>
      </c>
      <c r="V15" s="12">
        <v>0.84399999999999997</v>
      </c>
      <c r="W15" s="11">
        <v>1321.4</v>
      </c>
      <c r="X15" s="9" t="s">
        <v>288</v>
      </c>
      <c r="Y15" s="10">
        <v>44762</v>
      </c>
      <c r="Z15" s="13">
        <v>0.12870000000000001</v>
      </c>
      <c r="AA15" t="b">
        <v>0</v>
      </c>
      <c r="AB15" t="b">
        <v>0</v>
      </c>
      <c r="AC15" s="9" t="s">
        <v>289</v>
      </c>
      <c r="AD15" s="9" t="s">
        <v>290</v>
      </c>
      <c r="AE15" s="8">
        <v>1597.348</v>
      </c>
      <c r="AF15" s="14">
        <v>43.640610000000002</v>
      </c>
      <c r="AG15" s="14">
        <v>4.55457</v>
      </c>
      <c r="AH15" s="9" t="s">
        <v>483</v>
      </c>
      <c r="AI15" s="15" t="s">
        <v>484</v>
      </c>
      <c r="AJ15" s="9" t="s">
        <v>293</v>
      </c>
      <c r="AK15" s="9" t="s">
        <v>485</v>
      </c>
      <c r="AL15" s="9" t="s">
        <v>486</v>
      </c>
      <c r="AM15" s="9"/>
      <c r="AN15" s="9" t="s">
        <v>487</v>
      </c>
      <c r="AO15" s="9" t="s">
        <v>488</v>
      </c>
      <c r="AP15" s="9" t="s">
        <v>123</v>
      </c>
      <c r="AQ15" s="9" t="s">
        <v>123</v>
      </c>
      <c r="AR15" t="b">
        <v>0</v>
      </c>
      <c r="AS15" s="10"/>
      <c r="AT15" s="10" t="s">
        <v>299</v>
      </c>
      <c r="AU15" s="9"/>
      <c r="AV15" t="b">
        <v>0</v>
      </c>
      <c r="AW15" s="12"/>
      <c r="AX15" s="11"/>
      <c r="AY15" s="9"/>
      <c r="AZ15" t="b">
        <v>0</v>
      </c>
      <c r="BA15" s="9"/>
      <c r="BB15" s="12"/>
      <c r="BC15" s="11"/>
      <c r="BD15" s="9" t="s">
        <v>300</v>
      </c>
      <c r="BE15" s="9" t="s">
        <v>47</v>
      </c>
      <c r="BF15" s="9" t="s">
        <v>356</v>
      </c>
      <c r="BG15" s="9" t="s">
        <v>489</v>
      </c>
      <c r="BH15" s="9" t="s">
        <v>304</v>
      </c>
      <c r="BI15" s="9" t="s">
        <v>490</v>
      </c>
      <c r="BJ15" s="9" t="s">
        <v>491</v>
      </c>
      <c r="BK15" s="11">
        <v>856</v>
      </c>
      <c r="BL15" s="16">
        <v>189.68548999999999</v>
      </c>
      <c r="BM15" s="10"/>
      <c r="BN15" s="10"/>
      <c r="BO15" s="10"/>
      <c r="BP15" s="16"/>
      <c r="BQ15" s="16"/>
      <c r="BR15" s="9"/>
      <c r="BS15" s="9"/>
      <c r="BT15" s="9"/>
      <c r="BU15" s="9"/>
      <c r="BV15" s="9"/>
      <c r="BW15" s="10"/>
      <c r="BX15" s="15" t="s">
        <v>492</v>
      </c>
      <c r="BY15" s="10"/>
      <c r="BZ15" s="10"/>
      <c r="CA15" s="10"/>
      <c r="CB15" t="b">
        <v>0</v>
      </c>
      <c r="CC15" s="9" t="s">
        <v>308</v>
      </c>
      <c r="CD15" s="9" t="s">
        <v>309</v>
      </c>
    </row>
    <row r="16" spans="1:82">
      <c r="A16" s="8">
        <v>94565</v>
      </c>
      <c r="B16" s="9" t="s">
        <v>493</v>
      </c>
      <c r="C16" s="9" t="s">
        <v>277</v>
      </c>
      <c r="D16" s="10">
        <v>45937</v>
      </c>
      <c r="E16" s="9" t="s">
        <v>494</v>
      </c>
      <c r="F16" s="9" t="s">
        <v>495</v>
      </c>
      <c r="G16" s="9" t="s">
        <v>496</v>
      </c>
      <c r="H16" s="9" t="s">
        <v>281</v>
      </c>
      <c r="I16" s="9" t="s">
        <v>282</v>
      </c>
      <c r="J16" s="9" t="s">
        <v>283</v>
      </c>
      <c r="K16" s="9" t="s">
        <v>284</v>
      </c>
      <c r="L16" s="9" t="s">
        <v>497</v>
      </c>
      <c r="M16" s="9" t="s">
        <v>498</v>
      </c>
      <c r="N16" s="8">
        <v>2</v>
      </c>
      <c r="O16" s="9" t="s">
        <v>499</v>
      </c>
      <c r="P16" s="11">
        <v>499.59</v>
      </c>
      <c r="Q16" s="11">
        <v>440</v>
      </c>
      <c r="R16" s="11">
        <v>440</v>
      </c>
      <c r="S16" s="11">
        <v>1222.432</v>
      </c>
      <c r="T16" s="11">
        <v>610714.80287999997</v>
      </c>
      <c r="U16" s="12">
        <v>5.3999999999999999E-2</v>
      </c>
      <c r="V16" s="12">
        <v>0.87209999999999999</v>
      </c>
      <c r="W16" s="11">
        <v>964.48</v>
      </c>
      <c r="X16" s="9" t="s">
        <v>288</v>
      </c>
      <c r="Y16" s="10">
        <v>44853</v>
      </c>
      <c r="Z16" s="13">
        <v>0.13120000000000001</v>
      </c>
      <c r="AA16" t="b">
        <v>0</v>
      </c>
      <c r="AB16" t="b">
        <v>0</v>
      </c>
      <c r="AC16" s="9" t="s">
        <v>289</v>
      </c>
      <c r="AD16" s="9" t="s">
        <v>290</v>
      </c>
      <c r="AE16" s="8">
        <v>2193.9229999999998</v>
      </c>
      <c r="AF16" s="14">
        <v>46.376570000000001</v>
      </c>
      <c r="AG16" s="14">
        <v>3.2555499999999999</v>
      </c>
      <c r="AH16" s="9" t="s">
        <v>291</v>
      </c>
      <c r="AI16" s="15" t="s">
        <v>396</v>
      </c>
      <c r="AJ16" s="9" t="s">
        <v>293</v>
      </c>
      <c r="AK16" s="9" t="s">
        <v>500</v>
      </c>
      <c r="AL16" s="9" t="s">
        <v>501</v>
      </c>
      <c r="AM16" s="9"/>
      <c r="AN16" s="9" t="s">
        <v>502</v>
      </c>
      <c r="AO16" s="9"/>
      <c r="AP16" s="9" t="s">
        <v>68</v>
      </c>
      <c r="AQ16" s="9" t="s">
        <v>298</v>
      </c>
      <c r="AR16" t="b">
        <v>0</v>
      </c>
      <c r="AS16" s="10"/>
      <c r="AT16" s="10" t="s">
        <v>299</v>
      </c>
      <c r="AU16" s="9"/>
      <c r="AV16" t="b">
        <v>0</v>
      </c>
      <c r="AW16" s="12"/>
      <c r="AX16" s="11"/>
      <c r="AY16" s="9"/>
      <c r="AZ16" t="b">
        <v>0</v>
      </c>
      <c r="BA16" s="9"/>
      <c r="BB16" s="12"/>
      <c r="BC16" s="11"/>
      <c r="BD16" s="9" t="s">
        <v>300</v>
      </c>
      <c r="BE16" s="9" t="s">
        <v>301</v>
      </c>
      <c r="BF16" s="9" t="s">
        <v>356</v>
      </c>
      <c r="BG16" s="9" t="s">
        <v>303</v>
      </c>
      <c r="BH16" s="9" t="s">
        <v>304</v>
      </c>
      <c r="BI16" s="9" t="s">
        <v>305</v>
      </c>
      <c r="BJ16" s="9" t="s">
        <v>306</v>
      </c>
      <c r="BK16" s="11">
        <v>856</v>
      </c>
      <c r="BL16" s="16">
        <v>254.74952999999999</v>
      </c>
      <c r="BM16" s="10"/>
      <c r="BN16" s="10"/>
      <c r="BO16" s="10"/>
      <c r="BP16" s="16"/>
      <c r="BQ16" s="16"/>
      <c r="BR16" s="9"/>
      <c r="BS16" s="9"/>
      <c r="BT16" s="9"/>
      <c r="BU16" s="9"/>
      <c r="BV16" s="9"/>
      <c r="BW16" s="10"/>
      <c r="BX16" s="15" t="s">
        <v>503</v>
      </c>
      <c r="BY16" s="10"/>
      <c r="BZ16" s="10"/>
      <c r="CA16" s="10"/>
      <c r="CB16" t="b">
        <v>0</v>
      </c>
      <c r="CC16" s="9" t="s">
        <v>308</v>
      </c>
      <c r="CD16" s="9" t="s">
        <v>309</v>
      </c>
    </row>
    <row r="17" spans="1:82">
      <c r="A17" s="8">
        <v>97678</v>
      </c>
      <c r="B17" s="9" t="s">
        <v>504</v>
      </c>
      <c r="C17" s="9" t="s">
        <v>277</v>
      </c>
      <c r="D17" s="10">
        <v>45936</v>
      </c>
      <c r="E17" s="9" t="s">
        <v>505</v>
      </c>
      <c r="F17" s="9" t="s">
        <v>506</v>
      </c>
      <c r="G17" s="9" t="s">
        <v>507</v>
      </c>
      <c r="H17" s="9" t="s">
        <v>315</v>
      </c>
      <c r="I17" s="9" t="s">
        <v>282</v>
      </c>
      <c r="J17" s="9" t="s">
        <v>283</v>
      </c>
      <c r="K17" s="9" t="s">
        <v>284</v>
      </c>
      <c r="L17" s="9" t="s">
        <v>508</v>
      </c>
      <c r="M17" s="9" t="s">
        <v>509</v>
      </c>
      <c r="N17" s="8">
        <v>1</v>
      </c>
      <c r="O17" s="9" t="s">
        <v>510</v>
      </c>
      <c r="P17" s="11">
        <v>209</v>
      </c>
      <c r="Q17" s="11">
        <v>175</v>
      </c>
      <c r="R17" s="11">
        <v>175</v>
      </c>
      <c r="S17" s="11">
        <v>1187.6300000000001</v>
      </c>
      <c r="T17" s="11">
        <v>248214.67</v>
      </c>
      <c r="U17" s="12">
        <v>5.3999999999999999E-2</v>
      </c>
      <c r="V17" s="12">
        <v>0.87549999999999994</v>
      </c>
      <c r="W17" s="11">
        <v>1187.6300000000001</v>
      </c>
      <c r="X17" s="9" t="s">
        <v>288</v>
      </c>
      <c r="Y17" s="10">
        <v>45007</v>
      </c>
      <c r="Z17" s="13">
        <v>0.13120000000000001</v>
      </c>
      <c r="AA17" t="b">
        <v>0</v>
      </c>
      <c r="AB17" t="b">
        <v>0</v>
      </c>
      <c r="AC17" s="9" t="s">
        <v>289</v>
      </c>
      <c r="AD17" s="9" t="s">
        <v>290</v>
      </c>
      <c r="AE17" s="8">
        <v>919</v>
      </c>
      <c r="AF17" s="14">
        <v>43.215040000000002</v>
      </c>
      <c r="AG17" s="14">
        <v>0.77149000000000001</v>
      </c>
      <c r="AH17" s="9" t="s">
        <v>291</v>
      </c>
      <c r="AI17" s="15" t="s">
        <v>319</v>
      </c>
      <c r="AJ17" s="9" t="s">
        <v>293</v>
      </c>
      <c r="AK17" s="9" t="s">
        <v>511</v>
      </c>
      <c r="AL17" s="9" t="s">
        <v>512</v>
      </c>
      <c r="AM17" s="9"/>
      <c r="AN17" s="9" t="s">
        <v>513</v>
      </c>
      <c r="AO17" s="9"/>
      <c r="AP17" s="9" t="s">
        <v>139</v>
      </c>
      <c r="AQ17" s="9" t="s">
        <v>514</v>
      </c>
      <c r="AR17" t="b">
        <v>0</v>
      </c>
      <c r="AS17" s="10"/>
      <c r="AT17" s="10" t="s">
        <v>299</v>
      </c>
      <c r="AU17" s="9"/>
      <c r="AV17" t="b">
        <v>0</v>
      </c>
      <c r="AW17" s="12"/>
      <c r="AX17" s="11"/>
      <c r="AY17" s="9"/>
      <c r="AZ17" t="b">
        <v>0</v>
      </c>
      <c r="BA17" s="9"/>
      <c r="BB17" s="12"/>
      <c r="BC17" s="11"/>
      <c r="BD17" s="9" t="s">
        <v>325</v>
      </c>
      <c r="BE17" s="9" t="s">
        <v>301</v>
      </c>
      <c r="BF17" s="9" t="s">
        <v>373</v>
      </c>
      <c r="BG17" s="9" t="s">
        <v>416</v>
      </c>
      <c r="BH17" s="9" t="s">
        <v>304</v>
      </c>
      <c r="BI17" s="9" t="s">
        <v>305</v>
      </c>
      <c r="BJ17" s="9" t="s">
        <v>306</v>
      </c>
      <c r="BK17" s="11">
        <v>856</v>
      </c>
      <c r="BL17" s="16">
        <v>148.10300000000001</v>
      </c>
      <c r="BM17" s="10"/>
      <c r="BN17" s="10"/>
      <c r="BO17" s="10"/>
      <c r="BP17" s="16"/>
      <c r="BQ17" s="16"/>
      <c r="BR17" s="9"/>
      <c r="BS17" s="9"/>
      <c r="BT17" s="9"/>
      <c r="BU17" s="9"/>
      <c r="BV17" s="9"/>
      <c r="BW17" s="10"/>
      <c r="BX17" s="15" t="s">
        <v>515</v>
      </c>
      <c r="BY17" s="10"/>
      <c r="BZ17" s="10"/>
      <c r="CA17" s="10"/>
      <c r="CB17" t="b">
        <v>0</v>
      </c>
      <c r="CC17" s="9" t="s">
        <v>308</v>
      </c>
      <c r="CD17" s="9" t="s">
        <v>309</v>
      </c>
    </row>
    <row r="18" spans="1:82">
      <c r="A18" s="8">
        <v>3365</v>
      </c>
      <c r="B18" s="9" t="s">
        <v>516</v>
      </c>
      <c r="C18" s="9" t="s">
        <v>517</v>
      </c>
      <c r="D18" s="10">
        <v>45932</v>
      </c>
      <c r="E18" s="9" t="s">
        <v>518</v>
      </c>
      <c r="F18" s="9" t="s">
        <v>519</v>
      </c>
      <c r="G18" s="9" t="s">
        <v>520</v>
      </c>
      <c r="H18" s="9" t="s">
        <v>281</v>
      </c>
      <c r="I18" s="9" t="s">
        <v>282</v>
      </c>
      <c r="J18" s="9" t="s">
        <v>283</v>
      </c>
      <c r="K18" s="9" t="s">
        <v>284</v>
      </c>
      <c r="L18" s="9" t="s">
        <v>521</v>
      </c>
      <c r="M18" s="9" t="s">
        <v>522</v>
      </c>
      <c r="N18" s="8">
        <v>1</v>
      </c>
      <c r="O18" s="9" t="s">
        <v>523</v>
      </c>
      <c r="P18" s="11">
        <v>320.32</v>
      </c>
      <c r="Q18" s="11">
        <v>250</v>
      </c>
      <c r="R18" s="11">
        <v>247</v>
      </c>
      <c r="S18" s="11">
        <v>1198</v>
      </c>
      <c r="T18" s="11">
        <v>383743.36</v>
      </c>
      <c r="U18" s="12">
        <v>5.3999999999999999E-2</v>
      </c>
      <c r="V18" s="12">
        <v>0.876</v>
      </c>
      <c r="W18" s="11">
        <v>1190.0999999999999</v>
      </c>
      <c r="X18" s="9" t="s">
        <v>288</v>
      </c>
      <c r="Y18" s="10">
        <v>45313</v>
      </c>
      <c r="Z18" s="13">
        <v>0.12089999999999999</v>
      </c>
      <c r="AA18" t="b">
        <v>0</v>
      </c>
      <c r="AB18" t="b">
        <v>0</v>
      </c>
      <c r="AC18" s="9" t="s">
        <v>289</v>
      </c>
      <c r="AD18" s="9" t="s">
        <v>290</v>
      </c>
      <c r="AE18" s="8">
        <v>1406.6679999999999</v>
      </c>
      <c r="AF18" s="14">
        <v>47.806719999999999</v>
      </c>
      <c r="AG18" s="14">
        <v>0.1157</v>
      </c>
      <c r="AH18" s="9" t="s">
        <v>524</v>
      </c>
      <c r="AI18" s="15" t="s">
        <v>319</v>
      </c>
      <c r="AJ18" s="9" t="s">
        <v>293</v>
      </c>
      <c r="AK18" s="9" t="s">
        <v>525</v>
      </c>
      <c r="AL18" s="9" t="s">
        <v>526</v>
      </c>
      <c r="AM18" s="9"/>
      <c r="AN18" s="9" t="s">
        <v>527</v>
      </c>
      <c r="AO18" s="9"/>
      <c r="AP18" s="9" t="s">
        <v>144</v>
      </c>
      <c r="AQ18" s="9" t="s">
        <v>528</v>
      </c>
      <c r="AR18" t="b">
        <v>0</v>
      </c>
      <c r="AS18" s="10"/>
      <c r="AT18" s="10" t="s">
        <v>299</v>
      </c>
      <c r="AU18" s="9"/>
      <c r="AV18" t="b">
        <v>0</v>
      </c>
      <c r="AW18" s="12"/>
      <c r="AX18" s="11"/>
      <c r="AY18" s="9"/>
      <c r="AZ18" t="b">
        <v>0</v>
      </c>
      <c r="BA18" s="9"/>
      <c r="BB18" s="12"/>
      <c r="BC18" s="11"/>
      <c r="BD18" s="9" t="s">
        <v>300</v>
      </c>
      <c r="BE18" s="9" t="s">
        <v>47</v>
      </c>
      <c r="BF18" s="9" t="s">
        <v>302</v>
      </c>
      <c r="BG18" s="9" t="s">
        <v>529</v>
      </c>
      <c r="BH18" s="9" t="s">
        <v>304</v>
      </c>
      <c r="BI18" s="9" t="s">
        <v>530</v>
      </c>
      <c r="BJ18" s="9" t="s">
        <v>531</v>
      </c>
      <c r="BK18" s="11">
        <v>856</v>
      </c>
      <c r="BL18" s="16">
        <v>188.95743999999999</v>
      </c>
      <c r="BM18" s="10"/>
      <c r="BN18" s="10"/>
      <c r="BO18" s="10"/>
      <c r="BP18" s="16"/>
      <c r="BQ18" s="16"/>
      <c r="BR18" s="9"/>
      <c r="BS18" s="9"/>
      <c r="BT18" s="9"/>
      <c r="BU18" s="9"/>
      <c r="BV18" s="9"/>
      <c r="BW18" s="10"/>
      <c r="BX18" s="15" t="s">
        <v>532</v>
      </c>
      <c r="BY18" s="10"/>
      <c r="BZ18" s="10"/>
      <c r="CA18" s="10"/>
      <c r="CB18" t="b">
        <v>0</v>
      </c>
      <c r="CC18" s="9" t="s">
        <v>308</v>
      </c>
      <c r="CD18" s="9" t="s">
        <v>309</v>
      </c>
    </row>
    <row r="19" spans="1:82">
      <c r="A19" s="8">
        <v>94568</v>
      </c>
      <c r="B19" s="9" t="s">
        <v>533</v>
      </c>
      <c r="C19" s="9" t="s">
        <v>377</v>
      </c>
      <c r="D19" s="10">
        <v>45932</v>
      </c>
      <c r="E19" s="9" t="s">
        <v>534</v>
      </c>
      <c r="F19" s="9" t="s">
        <v>535</v>
      </c>
      <c r="G19" s="9" t="s">
        <v>536</v>
      </c>
      <c r="H19" s="9" t="s">
        <v>281</v>
      </c>
      <c r="I19" s="9" t="s">
        <v>282</v>
      </c>
      <c r="J19" s="9" t="s">
        <v>283</v>
      </c>
      <c r="K19" s="9" t="s">
        <v>284</v>
      </c>
      <c r="L19" s="9" t="s">
        <v>537</v>
      </c>
      <c r="M19" s="9" t="s">
        <v>538</v>
      </c>
      <c r="N19" s="8">
        <v>2</v>
      </c>
      <c r="O19" s="9" t="s">
        <v>539</v>
      </c>
      <c r="P19" s="11">
        <v>499.59</v>
      </c>
      <c r="Q19" s="11">
        <v>440</v>
      </c>
      <c r="R19" s="11">
        <v>440</v>
      </c>
      <c r="S19" s="11">
        <v>1200.659302</v>
      </c>
      <c r="T19" s="11">
        <v>599837.38068617997</v>
      </c>
      <c r="U19" s="12">
        <v>5.3999999999999999E-2</v>
      </c>
      <c r="V19" s="12">
        <v>0.874</v>
      </c>
      <c r="W19" s="11">
        <v>1210.83</v>
      </c>
      <c r="X19" s="9" t="s">
        <v>288</v>
      </c>
      <c r="Y19" s="10">
        <v>44869</v>
      </c>
      <c r="Z19" s="13">
        <v>0.13109999999999999</v>
      </c>
      <c r="AA19" t="b">
        <v>0</v>
      </c>
      <c r="AB19" t="b">
        <v>0</v>
      </c>
      <c r="AC19" s="9" t="s">
        <v>289</v>
      </c>
      <c r="AD19" s="9" t="s">
        <v>290</v>
      </c>
      <c r="AE19" s="8">
        <v>2193.92</v>
      </c>
      <c r="AF19" s="14">
        <v>46.47175</v>
      </c>
      <c r="AG19" s="14">
        <v>3.7782100000000001</v>
      </c>
      <c r="AH19" s="9" t="s">
        <v>291</v>
      </c>
      <c r="AI19" s="15" t="s">
        <v>396</v>
      </c>
      <c r="AJ19" s="9" t="s">
        <v>293</v>
      </c>
      <c r="AK19" s="9" t="s">
        <v>540</v>
      </c>
      <c r="AL19" s="9" t="s">
        <v>541</v>
      </c>
      <c r="AM19" s="9"/>
      <c r="AN19" s="9" t="s">
        <v>542</v>
      </c>
      <c r="AO19" s="9"/>
      <c r="AP19" s="9" t="s">
        <v>68</v>
      </c>
      <c r="AQ19" s="9" t="s">
        <v>298</v>
      </c>
      <c r="AR19" t="b">
        <v>0</v>
      </c>
      <c r="AS19" s="10"/>
      <c r="AT19" s="10" t="s">
        <v>299</v>
      </c>
      <c r="AU19" s="9"/>
      <c r="AV19" t="b">
        <v>0</v>
      </c>
      <c r="AW19" s="12"/>
      <c r="AX19" s="11"/>
      <c r="AY19" s="9"/>
      <c r="AZ19" t="b">
        <v>0</v>
      </c>
      <c r="BA19" s="9"/>
      <c r="BB19" s="12"/>
      <c r="BC19" s="11"/>
      <c r="BD19" s="9" t="s">
        <v>300</v>
      </c>
      <c r="BE19" s="9" t="s">
        <v>301</v>
      </c>
      <c r="BF19" s="9" t="s">
        <v>356</v>
      </c>
      <c r="BG19" s="9" t="s">
        <v>303</v>
      </c>
      <c r="BH19" s="9" t="s">
        <v>304</v>
      </c>
      <c r="BI19" s="9" t="s">
        <v>386</v>
      </c>
      <c r="BJ19" s="9" t="s">
        <v>387</v>
      </c>
      <c r="BK19" s="11">
        <v>856</v>
      </c>
      <c r="BL19" s="16">
        <v>254.74952999999999</v>
      </c>
      <c r="BM19" s="10"/>
      <c r="BN19" s="10"/>
      <c r="BO19" s="10"/>
      <c r="BP19" s="16"/>
      <c r="BQ19" s="16"/>
      <c r="BR19" s="9"/>
      <c r="BS19" s="9"/>
      <c r="BT19" s="9"/>
      <c r="BU19" s="9"/>
      <c r="BV19" s="9"/>
      <c r="BW19" s="10"/>
      <c r="BX19" s="15" t="s">
        <v>503</v>
      </c>
      <c r="BY19" s="10"/>
      <c r="BZ19" s="10"/>
      <c r="CA19" s="10"/>
      <c r="CB19" t="b">
        <v>0</v>
      </c>
      <c r="CC19" s="9" t="s">
        <v>308</v>
      </c>
      <c r="CD19" s="9" t="s">
        <v>309</v>
      </c>
    </row>
    <row r="20" spans="1:82">
      <c r="A20" s="8">
        <v>93459</v>
      </c>
      <c r="B20" s="9" t="s">
        <v>543</v>
      </c>
      <c r="C20" s="9" t="s">
        <v>517</v>
      </c>
      <c r="D20" s="10">
        <v>45931</v>
      </c>
      <c r="E20" s="9" t="s">
        <v>544</v>
      </c>
      <c r="F20" s="9" t="s">
        <v>545</v>
      </c>
      <c r="G20" s="9" t="s">
        <v>546</v>
      </c>
      <c r="H20" s="9" t="s">
        <v>281</v>
      </c>
      <c r="I20" s="9" t="s">
        <v>282</v>
      </c>
      <c r="J20" s="9" t="s">
        <v>547</v>
      </c>
      <c r="K20" s="9" t="s">
        <v>284</v>
      </c>
      <c r="L20" s="9" t="s">
        <v>548</v>
      </c>
      <c r="M20" s="9" t="s">
        <v>549</v>
      </c>
      <c r="N20" s="8">
        <v>1</v>
      </c>
      <c r="O20" s="9" t="s">
        <v>550</v>
      </c>
      <c r="P20" s="11">
        <v>284.375</v>
      </c>
      <c r="Q20" s="11">
        <v>250</v>
      </c>
      <c r="R20" s="11">
        <v>239</v>
      </c>
      <c r="S20" s="11">
        <v>1281</v>
      </c>
      <c r="T20" s="11">
        <v>364284.375</v>
      </c>
      <c r="U20" s="12">
        <v>5.3999999999999999E-2</v>
      </c>
      <c r="V20" s="12">
        <v>0.879</v>
      </c>
      <c r="W20" s="11">
        <v>1305.3</v>
      </c>
      <c r="X20" s="9" t="s">
        <v>288</v>
      </c>
      <c r="Y20" s="10">
        <v>45300</v>
      </c>
      <c r="Z20" s="13">
        <v>0.1208</v>
      </c>
      <c r="AA20" t="b">
        <v>0</v>
      </c>
      <c r="AB20" t="b">
        <v>0</v>
      </c>
      <c r="AC20" s="9" t="s">
        <v>289</v>
      </c>
      <c r="AD20" s="9" t="s">
        <v>290</v>
      </c>
      <c r="AE20" s="8">
        <v>1248.818</v>
      </c>
      <c r="AF20" s="14">
        <v>45.028889999999997</v>
      </c>
      <c r="AG20" s="14">
        <v>3.0621800000000001</v>
      </c>
      <c r="AH20" s="9" t="s">
        <v>524</v>
      </c>
      <c r="AI20" s="15" t="s">
        <v>319</v>
      </c>
      <c r="AJ20" s="9" t="s">
        <v>293</v>
      </c>
      <c r="AK20" s="9" t="s">
        <v>551</v>
      </c>
      <c r="AL20" s="9" t="s">
        <v>552</v>
      </c>
      <c r="AM20" s="9"/>
      <c r="AN20" s="9" t="s">
        <v>553</v>
      </c>
      <c r="AO20" s="9" t="s">
        <v>554</v>
      </c>
      <c r="AP20" s="9" t="s">
        <v>323</v>
      </c>
      <c r="AQ20" s="9" t="s">
        <v>355</v>
      </c>
      <c r="AR20" t="b">
        <v>0</v>
      </c>
      <c r="AS20" s="10"/>
      <c r="AT20" s="10" t="s">
        <v>299</v>
      </c>
      <c r="AU20" s="9"/>
      <c r="AV20" t="b">
        <v>0</v>
      </c>
      <c r="AW20" s="12"/>
      <c r="AX20" s="11"/>
      <c r="AY20" s="9"/>
      <c r="AZ20" t="b">
        <v>0</v>
      </c>
      <c r="BA20" s="9"/>
      <c r="BB20" s="12"/>
      <c r="BC20" s="11"/>
      <c r="BD20" s="9" t="s">
        <v>300</v>
      </c>
      <c r="BE20" s="9" t="s">
        <v>47</v>
      </c>
      <c r="BF20" s="9" t="s">
        <v>326</v>
      </c>
      <c r="BG20" s="9" t="s">
        <v>327</v>
      </c>
      <c r="BH20" s="9" t="s">
        <v>555</v>
      </c>
      <c r="BI20" s="9" t="s">
        <v>530</v>
      </c>
      <c r="BJ20" s="9" t="s">
        <v>531</v>
      </c>
      <c r="BK20" s="11">
        <v>856</v>
      </c>
      <c r="BL20" s="16">
        <v>175.765625</v>
      </c>
      <c r="BM20" s="10"/>
      <c r="BN20" s="10"/>
      <c r="BO20" s="10"/>
      <c r="BP20" s="16"/>
      <c r="BQ20" s="16"/>
      <c r="BR20" s="9"/>
      <c r="BS20" s="9"/>
      <c r="BT20" s="9"/>
      <c r="BU20" s="9"/>
      <c r="BV20" s="9"/>
      <c r="BW20" s="10"/>
      <c r="BX20" s="15" t="s">
        <v>556</v>
      </c>
      <c r="BY20" s="10"/>
      <c r="BZ20" s="10"/>
      <c r="CA20" s="10"/>
      <c r="CB20" t="b">
        <v>0</v>
      </c>
      <c r="CC20" s="9" t="s">
        <v>308</v>
      </c>
      <c r="CD20" s="9" t="s">
        <v>309</v>
      </c>
    </row>
    <row r="21" spans="1:82">
      <c r="A21" s="8">
        <v>98047</v>
      </c>
      <c r="B21" s="9" t="s">
        <v>557</v>
      </c>
      <c r="C21" s="9" t="s">
        <v>377</v>
      </c>
      <c r="D21" s="10">
        <v>45931</v>
      </c>
      <c r="E21" s="9" t="s">
        <v>558</v>
      </c>
      <c r="F21" s="9" t="s">
        <v>559</v>
      </c>
      <c r="G21" s="9" t="s">
        <v>560</v>
      </c>
      <c r="H21" s="9" t="s">
        <v>281</v>
      </c>
      <c r="I21" s="9" t="s">
        <v>282</v>
      </c>
      <c r="J21" s="9" t="s">
        <v>283</v>
      </c>
      <c r="K21" s="9" t="s">
        <v>284</v>
      </c>
      <c r="L21" s="9" t="s">
        <v>561</v>
      </c>
      <c r="M21" s="9" t="s">
        <v>562</v>
      </c>
      <c r="N21" s="8">
        <v>2</v>
      </c>
      <c r="O21" s="9" t="s">
        <v>563</v>
      </c>
      <c r="P21" s="11">
        <v>494.4</v>
      </c>
      <c r="Q21" s="11">
        <v>440</v>
      </c>
      <c r="R21" s="11">
        <v>416</v>
      </c>
      <c r="S21" s="11">
        <v>1172</v>
      </c>
      <c r="T21" s="11">
        <v>579436.80000000005</v>
      </c>
      <c r="U21" s="12">
        <v>5.3999999999999999E-2</v>
      </c>
      <c r="V21" s="12">
        <v>0.87389712814896003</v>
      </c>
      <c r="W21" s="11">
        <v>1152.1330801874001</v>
      </c>
      <c r="X21" s="9" t="s">
        <v>288</v>
      </c>
      <c r="Y21" s="10">
        <v>45314</v>
      </c>
      <c r="Z21" s="13">
        <v>0.1208</v>
      </c>
      <c r="AA21" t="b">
        <v>0</v>
      </c>
      <c r="AB21" t="b">
        <v>0</v>
      </c>
      <c r="AC21" s="9" t="s">
        <v>289</v>
      </c>
      <c r="AD21" s="9" t="s">
        <v>290</v>
      </c>
      <c r="AE21" s="8">
        <v>2157.9560000000001</v>
      </c>
      <c r="AF21" s="14">
        <v>43.158450000000002</v>
      </c>
      <c r="AG21" s="14">
        <v>2.8219999999999999E-2</v>
      </c>
      <c r="AH21" s="9" t="s">
        <v>291</v>
      </c>
      <c r="AI21" s="15" t="s">
        <v>396</v>
      </c>
      <c r="AJ21" s="9" t="s">
        <v>293</v>
      </c>
      <c r="AK21" s="9" t="s">
        <v>564</v>
      </c>
      <c r="AL21" s="9" t="s">
        <v>565</v>
      </c>
      <c r="AM21" s="9"/>
      <c r="AN21" s="9" t="s">
        <v>566</v>
      </c>
      <c r="AO21" s="9" t="s">
        <v>567</v>
      </c>
      <c r="AP21" s="9" t="s">
        <v>371</v>
      </c>
      <c r="AQ21" s="9" t="s">
        <v>123</v>
      </c>
      <c r="AR21" t="b">
        <v>0</v>
      </c>
      <c r="AS21" s="10"/>
      <c r="AT21" s="10" t="s">
        <v>299</v>
      </c>
      <c r="AU21" s="9"/>
      <c r="AV21" t="b">
        <v>0</v>
      </c>
      <c r="AW21" s="12"/>
      <c r="AX21" s="11"/>
      <c r="AY21" s="9"/>
      <c r="AZ21" t="b">
        <v>0</v>
      </c>
      <c r="BA21" s="9"/>
      <c r="BB21" s="12"/>
      <c r="BC21" s="11"/>
      <c r="BD21" s="9" t="s">
        <v>300</v>
      </c>
      <c r="BE21" s="9" t="s">
        <v>301</v>
      </c>
      <c r="BF21" s="9" t="s">
        <v>373</v>
      </c>
      <c r="BG21" s="9" t="s">
        <v>374</v>
      </c>
      <c r="BH21" s="9" t="s">
        <v>304</v>
      </c>
      <c r="BI21" s="9" t="s">
        <v>386</v>
      </c>
      <c r="BJ21" s="9" t="s">
        <v>387</v>
      </c>
      <c r="BK21" s="11">
        <v>856</v>
      </c>
      <c r="BL21" s="16">
        <v>252.84479999999999</v>
      </c>
      <c r="BM21" s="10"/>
      <c r="BN21" s="10"/>
      <c r="BO21" s="10"/>
      <c r="BP21" s="16"/>
      <c r="BQ21" s="16"/>
      <c r="BR21" s="9"/>
      <c r="BS21" s="9"/>
      <c r="BT21" s="9"/>
      <c r="BU21" s="9"/>
      <c r="BV21" s="9"/>
      <c r="BW21" s="10"/>
      <c r="BX21" s="15" t="s">
        <v>568</v>
      </c>
      <c r="BY21" s="10"/>
      <c r="BZ21" s="10"/>
      <c r="CA21" s="10"/>
      <c r="CB21" t="b">
        <v>0</v>
      </c>
      <c r="CC21" s="9" t="s">
        <v>308</v>
      </c>
      <c r="CD21" s="9" t="s">
        <v>309</v>
      </c>
    </row>
    <row r="22" spans="1:82">
      <c r="A22" s="8">
        <v>99135</v>
      </c>
      <c r="B22" s="9" t="s">
        <v>569</v>
      </c>
      <c r="C22" s="9" t="s">
        <v>311</v>
      </c>
      <c r="D22" s="10">
        <v>45924</v>
      </c>
      <c r="E22" s="9" t="s">
        <v>570</v>
      </c>
      <c r="F22" s="9" t="s">
        <v>571</v>
      </c>
      <c r="G22" s="9" t="s">
        <v>572</v>
      </c>
      <c r="H22" s="9" t="s">
        <v>315</v>
      </c>
      <c r="I22" s="9" t="s">
        <v>573</v>
      </c>
      <c r="J22" s="9" t="s">
        <v>283</v>
      </c>
      <c r="K22" s="9" t="s">
        <v>284</v>
      </c>
      <c r="L22" s="9" t="s">
        <v>574</v>
      </c>
      <c r="M22" s="9" t="s">
        <v>575</v>
      </c>
      <c r="N22" s="8">
        <v>1</v>
      </c>
      <c r="O22" s="9" t="s">
        <v>576</v>
      </c>
      <c r="P22" s="11">
        <v>296.20499999999998</v>
      </c>
      <c r="Q22" s="11">
        <v>250</v>
      </c>
      <c r="R22" s="11">
        <v>239</v>
      </c>
      <c r="S22" s="11">
        <v>1257</v>
      </c>
      <c r="T22" s="11">
        <v>372329.685</v>
      </c>
      <c r="U22" s="12">
        <v>5.3999999999999999E-2</v>
      </c>
      <c r="V22" s="12">
        <v>0.86799999999999999</v>
      </c>
      <c r="W22" s="11">
        <v>1247.4000000000001</v>
      </c>
      <c r="X22" s="9" t="s">
        <v>288</v>
      </c>
      <c r="Y22" s="10">
        <v>45209</v>
      </c>
      <c r="Z22" s="13">
        <v>0.12379999999999999</v>
      </c>
      <c r="AA22" t="b">
        <v>0</v>
      </c>
      <c r="AB22" t="b">
        <v>0</v>
      </c>
      <c r="AC22" s="9" t="s">
        <v>289</v>
      </c>
      <c r="AD22" s="9" t="s">
        <v>290</v>
      </c>
      <c r="AE22" s="8">
        <v>1300.768</v>
      </c>
      <c r="AF22" s="14">
        <v>44.584949999999999</v>
      </c>
      <c r="AG22" s="14">
        <v>0.41326000000000002</v>
      </c>
      <c r="AH22" s="9" t="s">
        <v>291</v>
      </c>
      <c r="AI22" s="15" t="s">
        <v>396</v>
      </c>
      <c r="AJ22" s="9" t="s">
        <v>293</v>
      </c>
      <c r="AK22" s="9" t="s">
        <v>577</v>
      </c>
      <c r="AL22" s="9" t="s">
        <v>578</v>
      </c>
      <c r="AM22" s="9"/>
      <c r="AN22" s="9" t="s">
        <v>579</v>
      </c>
      <c r="AO22" s="9"/>
      <c r="AP22" s="9" t="s">
        <v>123</v>
      </c>
      <c r="AQ22" s="9" t="s">
        <v>123</v>
      </c>
      <c r="AR22" t="b">
        <v>0</v>
      </c>
      <c r="AS22" s="10"/>
      <c r="AT22" s="10" t="s">
        <v>299</v>
      </c>
      <c r="AU22" s="9"/>
      <c r="AV22" t="b">
        <v>0</v>
      </c>
      <c r="AW22" s="12"/>
      <c r="AX22" s="11"/>
      <c r="AY22" s="9"/>
      <c r="AZ22" t="b">
        <v>0</v>
      </c>
      <c r="BA22" s="9"/>
      <c r="BB22" s="12"/>
      <c r="BC22" s="11"/>
      <c r="BD22" s="9" t="s">
        <v>300</v>
      </c>
      <c r="BE22" s="9" t="s">
        <v>86</v>
      </c>
      <c r="BF22" s="9" t="s">
        <v>373</v>
      </c>
      <c r="BG22" s="9" t="s">
        <v>374</v>
      </c>
      <c r="BH22" s="9" t="s">
        <v>304</v>
      </c>
      <c r="BI22" s="9" t="s">
        <v>328</v>
      </c>
      <c r="BJ22" s="9" t="s">
        <v>329</v>
      </c>
      <c r="BK22" s="11">
        <v>856</v>
      </c>
      <c r="BL22" s="16">
        <v>180.107235</v>
      </c>
      <c r="BM22" s="10"/>
      <c r="BN22" s="10"/>
      <c r="BO22" s="10"/>
      <c r="BP22" s="16"/>
      <c r="BQ22" s="16"/>
      <c r="BR22" s="9"/>
      <c r="BS22" s="9"/>
      <c r="BT22" s="9"/>
      <c r="BU22" s="9"/>
      <c r="BV22" s="9"/>
      <c r="BW22" s="10"/>
      <c r="BX22" s="15" t="s">
        <v>580</v>
      </c>
      <c r="BY22" s="10"/>
      <c r="BZ22" s="10"/>
      <c r="CA22" s="10"/>
      <c r="CB22" t="b">
        <v>0</v>
      </c>
      <c r="CC22" s="9" t="s">
        <v>308</v>
      </c>
      <c r="CD22" s="9" t="s">
        <v>309</v>
      </c>
    </row>
    <row r="23" spans="1:82">
      <c r="A23" s="8">
        <v>99129</v>
      </c>
      <c r="B23" s="9" t="s">
        <v>581</v>
      </c>
      <c r="C23" s="9" t="s">
        <v>311</v>
      </c>
      <c r="D23" s="10">
        <v>45924</v>
      </c>
      <c r="E23" s="9" t="s">
        <v>582</v>
      </c>
      <c r="F23" s="9" t="s">
        <v>571</v>
      </c>
      <c r="G23" s="9" t="s">
        <v>572</v>
      </c>
      <c r="H23" s="9" t="s">
        <v>281</v>
      </c>
      <c r="I23" s="9" t="s">
        <v>282</v>
      </c>
      <c r="J23" s="9" t="s">
        <v>283</v>
      </c>
      <c r="K23" s="9" t="s">
        <v>284</v>
      </c>
      <c r="L23" s="9" t="s">
        <v>583</v>
      </c>
      <c r="M23" s="9" t="s">
        <v>584</v>
      </c>
      <c r="N23" s="8">
        <v>1</v>
      </c>
      <c r="O23" s="9" t="s">
        <v>585</v>
      </c>
      <c r="P23" s="11">
        <v>318.5</v>
      </c>
      <c r="Q23" s="11">
        <v>250</v>
      </c>
      <c r="R23" s="11">
        <v>249</v>
      </c>
      <c r="S23" s="11">
        <v>1169</v>
      </c>
      <c r="T23" s="11">
        <v>372326.5</v>
      </c>
      <c r="U23" s="12">
        <v>5.3999999999999999E-2</v>
      </c>
      <c r="V23" s="12">
        <v>0.871</v>
      </c>
      <c r="W23" s="11">
        <v>1170.2</v>
      </c>
      <c r="X23" s="9" t="s">
        <v>288</v>
      </c>
      <c r="Y23" s="10">
        <v>45209</v>
      </c>
      <c r="Z23" s="13">
        <v>0.12379999999999999</v>
      </c>
      <c r="AA23" t="b">
        <v>0</v>
      </c>
      <c r="AB23" t="b">
        <v>0</v>
      </c>
      <c r="AC23" s="9" t="s">
        <v>289</v>
      </c>
      <c r="AD23" s="9" t="s">
        <v>290</v>
      </c>
      <c r="AE23" s="8">
        <v>1398.6759999999999</v>
      </c>
      <c r="AF23" s="14">
        <v>44.588239999999999</v>
      </c>
      <c r="AG23" s="14">
        <v>0.41015000000000001</v>
      </c>
      <c r="AH23" s="9" t="s">
        <v>291</v>
      </c>
      <c r="AI23" s="15" t="s">
        <v>396</v>
      </c>
      <c r="AJ23" s="9" t="s">
        <v>293</v>
      </c>
      <c r="AK23" s="9" t="s">
        <v>577</v>
      </c>
      <c r="AL23" s="9" t="s">
        <v>578</v>
      </c>
      <c r="AM23" s="9"/>
      <c r="AN23" s="9" t="s">
        <v>579</v>
      </c>
      <c r="AO23" s="9"/>
      <c r="AP23" s="9" t="s">
        <v>123</v>
      </c>
      <c r="AQ23" s="9" t="s">
        <v>123</v>
      </c>
      <c r="AR23" t="b">
        <v>0</v>
      </c>
      <c r="AS23" s="10"/>
      <c r="AT23" s="10" t="s">
        <v>299</v>
      </c>
      <c r="AU23" s="9"/>
      <c r="AV23" t="b">
        <v>0</v>
      </c>
      <c r="AW23" s="12"/>
      <c r="AX23" s="11"/>
      <c r="AY23" s="9"/>
      <c r="AZ23" t="b">
        <v>0</v>
      </c>
      <c r="BA23" s="9"/>
      <c r="BB23" s="12"/>
      <c r="BC23" s="11"/>
      <c r="BD23" s="9" t="s">
        <v>300</v>
      </c>
      <c r="BE23" s="9" t="s">
        <v>86</v>
      </c>
      <c r="BF23" s="9" t="s">
        <v>373</v>
      </c>
      <c r="BG23" s="9" t="s">
        <v>374</v>
      </c>
      <c r="BH23" s="9" t="s">
        <v>304</v>
      </c>
      <c r="BI23" s="9" t="s">
        <v>328</v>
      </c>
      <c r="BJ23" s="9" t="s">
        <v>329</v>
      </c>
      <c r="BK23" s="11">
        <v>856</v>
      </c>
      <c r="BL23" s="16">
        <v>188.2895</v>
      </c>
      <c r="BM23" s="10"/>
      <c r="BN23" s="10"/>
      <c r="BO23" s="10"/>
      <c r="BP23" s="16"/>
      <c r="BQ23" s="16"/>
      <c r="BR23" s="9"/>
      <c r="BS23" s="9"/>
      <c r="BT23" s="9"/>
      <c r="BU23" s="9"/>
      <c r="BV23" s="9"/>
      <c r="BW23" s="10"/>
      <c r="BX23" s="15" t="s">
        <v>586</v>
      </c>
      <c r="BY23" s="10"/>
      <c r="BZ23" s="10"/>
      <c r="CA23" s="10"/>
      <c r="CB23" t="b">
        <v>0</v>
      </c>
      <c r="CC23" s="9" t="s">
        <v>308</v>
      </c>
      <c r="CD23" s="9" t="s">
        <v>309</v>
      </c>
    </row>
    <row r="24" spans="1:82">
      <c r="A24" s="8">
        <v>87676</v>
      </c>
      <c r="B24" s="9" t="s">
        <v>587</v>
      </c>
      <c r="C24" s="9" t="s">
        <v>377</v>
      </c>
      <c r="D24" s="10">
        <v>45923</v>
      </c>
      <c r="E24" s="9" t="s">
        <v>588</v>
      </c>
      <c r="F24" s="9" t="s">
        <v>589</v>
      </c>
      <c r="G24" s="9" t="s">
        <v>590</v>
      </c>
      <c r="H24" s="9" t="s">
        <v>281</v>
      </c>
      <c r="I24" s="9" t="s">
        <v>282</v>
      </c>
      <c r="J24" s="9" t="s">
        <v>283</v>
      </c>
      <c r="K24" s="9" t="s">
        <v>284</v>
      </c>
      <c r="L24" s="9" t="s">
        <v>591</v>
      </c>
      <c r="M24" s="9" t="s">
        <v>592</v>
      </c>
      <c r="N24" s="8">
        <v>1</v>
      </c>
      <c r="O24" s="9" t="s">
        <v>593</v>
      </c>
      <c r="P24" s="11">
        <v>324.87</v>
      </c>
      <c r="Q24" s="11">
        <v>250</v>
      </c>
      <c r="R24" s="11">
        <v>250</v>
      </c>
      <c r="S24" s="11">
        <v>1143</v>
      </c>
      <c r="T24" s="11">
        <v>371326.41</v>
      </c>
      <c r="U24" s="12">
        <v>5.3999999999999999E-2</v>
      </c>
      <c r="V24" s="12">
        <v>0.87439999999999996</v>
      </c>
      <c r="W24" s="11">
        <v>1156.06</v>
      </c>
      <c r="X24" s="9" t="s">
        <v>288</v>
      </c>
      <c r="Y24" s="10">
        <v>45124</v>
      </c>
      <c r="Z24" s="13">
        <v>0.12740000000000001</v>
      </c>
      <c r="AA24" t="b">
        <v>0</v>
      </c>
      <c r="AB24" t="b">
        <v>0</v>
      </c>
      <c r="AC24" s="9" t="s">
        <v>289</v>
      </c>
      <c r="AD24" s="9" t="s">
        <v>290</v>
      </c>
      <c r="AE24" s="8">
        <v>1426.64</v>
      </c>
      <c r="AF24" s="14">
        <v>47.542900000000003</v>
      </c>
      <c r="AG24" s="14">
        <v>-1.1952700000000001</v>
      </c>
      <c r="AH24" s="9" t="s">
        <v>291</v>
      </c>
      <c r="AI24" s="15" t="s">
        <v>319</v>
      </c>
      <c r="AJ24" s="9" t="s">
        <v>293</v>
      </c>
      <c r="AK24" s="9" t="s">
        <v>594</v>
      </c>
      <c r="AL24" s="9" t="s">
        <v>595</v>
      </c>
      <c r="AM24" s="9"/>
      <c r="AN24" s="9" t="s">
        <v>596</v>
      </c>
      <c r="AO24" s="9"/>
      <c r="AP24" s="9" t="s">
        <v>597</v>
      </c>
      <c r="AQ24" s="9" t="s">
        <v>298</v>
      </c>
      <c r="AR24" t="b">
        <v>0</v>
      </c>
      <c r="AS24" s="10"/>
      <c r="AT24" s="10" t="s">
        <v>299</v>
      </c>
      <c r="AU24" s="9"/>
      <c r="AV24" t="b">
        <v>0</v>
      </c>
      <c r="AW24" s="12"/>
      <c r="AX24" s="11"/>
      <c r="AY24" s="9"/>
      <c r="AZ24" t="b">
        <v>0</v>
      </c>
      <c r="BA24" s="9"/>
      <c r="BB24" s="12"/>
      <c r="BC24" s="11"/>
      <c r="BD24" s="9" t="s">
        <v>300</v>
      </c>
      <c r="BE24" s="9" t="s">
        <v>301</v>
      </c>
      <c r="BF24" s="9" t="s">
        <v>402</v>
      </c>
      <c r="BG24" s="9" t="s">
        <v>529</v>
      </c>
      <c r="BH24" s="9" t="s">
        <v>304</v>
      </c>
      <c r="BI24" s="9" t="s">
        <v>386</v>
      </c>
      <c r="BJ24" s="9" t="s">
        <v>387</v>
      </c>
      <c r="BK24" s="11">
        <v>856</v>
      </c>
      <c r="BL24" s="16">
        <v>190.62728999999999</v>
      </c>
      <c r="BM24" s="10"/>
      <c r="BN24" s="10"/>
      <c r="BO24" s="10"/>
      <c r="BP24" s="16"/>
      <c r="BQ24" s="16"/>
      <c r="BR24" s="9"/>
      <c r="BS24" s="9"/>
      <c r="BT24" s="9"/>
      <c r="BU24" s="9"/>
      <c r="BV24" s="9"/>
      <c r="BW24" s="10"/>
      <c r="BX24" s="15" t="s">
        <v>598</v>
      </c>
      <c r="BY24" s="10"/>
      <c r="BZ24" s="10"/>
      <c r="CA24" s="10"/>
      <c r="CB24" t="b">
        <v>0</v>
      </c>
      <c r="CC24" s="9" t="s">
        <v>308</v>
      </c>
      <c r="CD24" s="9" t="s">
        <v>309</v>
      </c>
    </row>
    <row r="25" spans="1:82" ht="29.1">
      <c r="A25" s="8">
        <v>3280</v>
      </c>
      <c r="B25" s="9" t="s">
        <v>599</v>
      </c>
      <c r="C25" s="9" t="s">
        <v>277</v>
      </c>
      <c r="D25" s="10">
        <v>45918</v>
      </c>
      <c r="E25" s="9" t="s">
        <v>600</v>
      </c>
      <c r="F25" s="9" t="s">
        <v>601</v>
      </c>
      <c r="G25" s="9" t="s">
        <v>602</v>
      </c>
      <c r="H25" s="9" t="s">
        <v>315</v>
      </c>
      <c r="I25" s="9" t="s">
        <v>573</v>
      </c>
      <c r="J25" s="9" t="s">
        <v>603</v>
      </c>
      <c r="K25" s="9" t="s">
        <v>284</v>
      </c>
      <c r="L25" s="9" t="s">
        <v>604</v>
      </c>
      <c r="M25" s="9" t="s">
        <v>605</v>
      </c>
      <c r="N25" s="8">
        <v>1</v>
      </c>
      <c r="O25" s="9" t="s">
        <v>606</v>
      </c>
      <c r="P25" s="11">
        <v>249.79499999999999</v>
      </c>
      <c r="Q25" s="11">
        <v>220</v>
      </c>
      <c r="R25" s="11">
        <v>203</v>
      </c>
      <c r="S25" s="11">
        <v>1090</v>
      </c>
      <c r="T25" s="11">
        <v>272276.55</v>
      </c>
      <c r="U25" s="12">
        <v>5.3999999999999999E-2</v>
      </c>
      <c r="V25" s="12">
        <v>0.87297127248524298</v>
      </c>
      <c r="W25" s="11">
        <v>1092.08706187904</v>
      </c>
      <c r="X25" s="9" t="s">
        <v>288</v>
      </c>
      <c r="Y25" s="10">
        <v>45315</v>
      </c>
      <c r="Z25" s="13">
        <v>0.12089999999999999</v>
      </c>
      <c r="AA25" t="b">
        <v>0</v>
      </c>
      <c r="AB25" t="b">
        <v>0</v>
      </c>
      <c r="AC25" s="9" t="s">
        <v>289</v>
      </c>
      <c r="AD25" s="9" t="s">
        <v>290</v>
      </c>
      <c r="AE25" s="8">
        <v>1096.961</v>
      </c>
      <c r="AF25" s="14">
        <v>47.035899999999998</v>
      </c>
      <c r="AG25" s="14">
        <v>-0.91024000000000005</v>
      </c>
      <c r="AH25" s="9" t="s">
        <v>291</v>
      </c>
      <c r="AI25" s="15" t="s">
        <v>607</v>
      </c>
      <c r="AJ25" s="9" t="s">
        <v>293</v>
      </c>
      <c r="AK25" s="9" t="s">
        <v>608</v>
      </c>
      <c r="AL25" s="9" t="s">
        <v>609</v>
      </c>
      <c r="AM25" s="9"/>
      <c r="AN25" s="9" t="s">
        <v>610</v>
      </c>
      <c r="AO25" s="9"/>
      <c r="AP25" s="9" t="s">
        <v>144</v>
      </c>
      <c r="AQ25" s="9" t="s">
        <v>611</v>
      </c>
      <c r="AR25" t="b">
        <v>0</v>
      </c>
      <c r="AS25" s="10">
        <v>45932</v>
      </c>
      <c r="AT25" s="10">
        <v>45932</v>
      </c>
      <c r="AU25" s="9" t="s">
        <v>612</v>
      </c>
      <c r="AV25" t="b">
        <v>1</v>
      </c>
      <c r="AW25" s="12"/>
      <c r="AX25" s="11">
        <v>90000</v>
      </c>
      <c r="AY25" s="9"/>
      <c r="AZ25" t="b">
        <v>0</v>
      </c>
      <c r="BA25" s="9"/>
      <c r="BB25" s="12"/>
      <c r="BC25" s="11"/>
      <c r="BD25" s="9" t="s">
        <v>300</v>
      </c>
      <c r="BE25" s="9" t="s">
        <v>301</v>
      </c>
      <c r="BF25" s="9" t="s">
        <v>402</v>
      </c>
      <c r="BG25" s="9" t="s">
        <v>529</v>
      </c>
      <c r="BH25" s="9" t="s">
        <v>304</v>
      </c>
      <c r="BI25" s="9" t="s">
        <v>305</v>
      </c>
      <c r="BJ25" s="9" t="s">
        <v>306</v>
      </c>
      <c r="BK25" s="11">
        <v>856</v>
      </c>
      <c r="BL25" s="16">
        <v>163.07476500000001</v>
      </c>
      <c r="BM25" s="10"/>
      <c r="BN25" s="10"/>
      <c r="BO25" s="10"/>
      <c r="BP25" s="16"/>
      <c r="BQ25" s="16"/>
      <c r="BR25" s="9"/>
      <c r="BS25" s="9"/>
      <c r="BT25" s="9"/>
      <c r="BU25" s="9"/>
      <c r="BV25" s="9"/>
      <c r="BW25" s="10"/>
      <c r="BX25" s="15" t="s">
        <v>613</v>
      </c>
      <c r="BY25" s="10"/>
      <c r="BZ25" s="10"/>
      <c r="CA25" s="10"/>
      <c r="CB25" t="b">
        <v>0</v>
      </c>
      <c r="CC25" s="9" t="s">
        <v>308</v>
      </c>
      <c r="CD25" s="9" t="s">
        <v>309</v>
      </c>
    </row>
    <row r="26" spans="1:82">
      <c r="A26" s="8">
        <v>89054</v>
      </c>
      <c r="B26" s="9" t="s">
        <v>614</v>
      </c>
      <c r="C26" s="9" t="s">
        <v>517</v>
      </c>
      <c r="D26" s="10">
        <v>45917</v>
      </c>
      <c r="E26" s="9" t="s">
        <v>615</v>
      </c>
      <c r="F26" s="9" t="s">
        <v>616</v>
      </c>
      <c r="G26" s="9" t="s">
        <v>617</v>
      </c>
      <c r="H26" s="9" t="s">
        <v>281</v>
      </c>
      <c r="I26" s="9" t="s">
        <v>282</v>
      </c>
      <c r="J26" s="9" t="s">
        <v>283</v>
      </c>
      <c r="K26" s="9" t="s">
        <v>284</v>
      </c>
      <c r="L26" s="9" t="s">
        <v>618</v>
      </c>
      <c r="M26" s="9" t="s">
        <v>619</v>
      </c>
      <c r="N26" s="8">
        <v>2</v>
      </c>
      <c r="O26" s="9" t="s">
        <v>620</v>
      </c>
      <c r="P26" s="11">
        <v>499.59</v>
      </c>
      <c r="Q26" s="11">
        <v>440</v>
      </c>
      <c r="R26" s="11">
        <v>406</v>
      </c>
      <c r="S26" s="11">
        <v>1060.6400000000001</v>
      </c>
      <c r="T26" s="11">
        <v>529885.13760000002</v>
      </c>
      <c r="U26" s="12">
        <v>5.3999999999999999E-2</v>
      </c>
      <c r="V26" s="12">
        <v>0.88</v>
      </c>
      <c r="W26" s="11">
        <v>1076.0999999999999</v>
      </c>
      <c r="X26" s="9" t="s">
        <v>288</v>
      </c>
      <c r="Y26" s="10">
        <v>45309</v>
      </c>
      <c r="Z26" s="13">
        <v>0.12089999999999999</v>
      </c>
      <c r="AA26" t="b">
        <v>0</v>
      </c>
      <c r="AB26" t="b">
        <v>0</v>
      </c>
      <c r="AC26" s="9" t="s">
        <v>289</v>
      </c>
      <c r="AD26" s="9" t="s">
        <v>290</v>
      </c>
      <c r="AE26" s="8">
        <v>2193.9229999999998</v>
      </c>
      <c r="AF26" s="14">
        <v>47.412590000000002</v>
      </c>
      <c r="AG26" s="14">
        <v>-1.4110799999999999</v>
      </c>
      <c r="AH26" s="9" t="s">
        <v>524</v>
      </c>
      <c r="AI26" s="15" t="s">
        <v>621</v>
      </c>
      <c r="AJ26" s="9" t="s">
        <v>293</v>
      </c>
      <c r="AK26" s="9" t="s">
        <v>622</v>
      </c>
      <c r="AL26" s="9" t="s">
        <v>623</v>
      </c>
      <c r="AM26" s="9"/>
      <c r="AN26" s="9" t="s">
        <v>624</v>
      </c>
      <c r="AO26" s="9" t="s">
        <v>625</v>
      </c>
      <c r="AP26" s="9" t="s">
        <v>144</v>
      </c>
      <c r="AQ26" s="9" t="s">
        <v>372</v>
      </c>
      <c r="AR26" t="b">
        <v>0</v>
      </c>
      <c r="AS26" s="10"/>
      <c r="AT26" s="10" t="s">
        <v>299</v>
      </c>
      <c r="AU26" s="9"/>
      <c r="AV26" t="b">
        <v>0</v>
      </c>
      <c r="AW26" s="12"/>
      <c r="AX26" s="11"/>
      <c r="AY26" s="9"/>
      <c r="AZ26" t="b">
        <v>0</v>
      </c>
      <c r="BA26" s="9"/>
      <c r="BB26" s="12"/>
      <c r="BC26" s="11"/>
      <c r="BD26" s="9" t="s">
        <v>300</v>
      </c>
      <c r="BE26" s="9" t="s">
        <v>47</v>
      </c>
      <c r="BF26" s="9" t="s">
        <v>402</v>
      </c>
      <c r="BG26" s="9" t="s">
        <v>529</v>
      </c>
      <c r="BH26" s="9" t="s">
        <v>304</v>
      </c>
      <c r="BI26" s="9" t="s">
        <v>530</v>
      </c>
      <c r="BJ26" s="9" t="s">
        <v>531</v>
      </c>
      <c r="BK26" s="11">
        <v>856</v>
      </c>
      <c r="BL26" s="16">
        <v>254.74952999999999</v>
      </c>
      <c r="BM26" s="10"/>
      <c r="BN26" s="10"/>
      <c r="BO26" s="10"/>
      <c r="BP26" s="16"/>
      <c r="BQ26" s="16"/>
      <c r="BR26" s="9"/>
      <c r="BS26" s="9"/>
      <c r="BT26" s="9"/>
      <c r="BU26" s="9"/>
      <c r="BV26" s="9"/>
      <c r="BW26" s="10"/>
      <c r="BX26" s="15" t="s">
        <v>626</v>
      </c>
      <c r="BY26" s="10"/>
      <c r="BZ26" s="10"/>
      <c r="CA26" s="10"/>
      <c r="CB26" t="b">
        <v>0</v>
      </c>
      <c r="CC26" s="9" t="s">
        <v>308</v>
      </c>
      <c r="CD26" s="9" t="s">
        <v>309</v>
      </c>
    </row>
    <row r="27" spans="1:82">
      <c r="A27" s="8">
        <v>96571</v>
      </c>
      <c r="B27" s="9" t="s">
        <v>627</v>
      </c>
      <c r="C27" s="9" t="s">
        <v>628</v>
      </c>
      <c r="D27" s="10">
        <v>45916</v>
      </c>
      <c r="E27" s="9" t="s">
        <v>629</v>
      </c>
      <c r="F27" s="9" t="s">
        <v>630</v>
      </c>
      <c r="G27" s="9" t="s">
        <v>631</v>
      </c>
      <c r="H27" s="9" t="s">
        <v>281</v>
      </c>
      <c r="I27" s="9" t="s">
        <v>282</v>
      </c>
      <c r="J27" s="9" t="s">
        <v>283</v>
      </c>
      <c r="K27" s="9" t="s">
        <v>284</v>
      </c>
      <c r="L27" s="9" t="s">
        <v>632</v>
      </c>
      <c r="M27" s="9" t="s">
        <v>633</v>
      </c>
      <c r="N27" s="8">
        <v>1</v>
      </c>
      <c r="O27" s="9" t="s">
        <v>634</v>
      </c>
      <c r="P27" s="11">
        <v>257.98500000000001</v>
      </c>
      <c r="Q27" s="11">
        <v>220</v>
      </c>
      <c r="R27" s="11">
        <v>204</v>
      </c>
      <c r="S27" s="11">
        <v>1189</v>
      </c>
      <c r="T27" s="11">
        <v>306744.16499999998</v>
      </c>
      <c r="U27" s="12">
        <v>5.3999999999999999E-2</v>
      </c>
      <c r="V27" s="12">
        <v>0.87134862561277304</v>
      </c>
      <c r="W27" s="11">
        <v>1167.6071583211201</v>
      </c>
      <c r="X27" s="9" t="s">
        <v>288</v>
      </c>
      <c r="Y27" s="10">
        <v>45040</v>
      </c>
      <c r="Z27" s="13">
        <v>0.1313</v>
      </c>
      <c r="AA27" t="b">
        <v>0</v>
      </c>
      <c r="AB27" t="b">
        <v>0</v>
      </c>
      <c r="AC27" s="9" t="s">
        <v>289</v>
      </c>
      <c r="AD27" s="9" t="s">
        <v>290</v>
      </c>
      <c r="AE27" s="8">
        <v>1132.9269999999999</v>
      </c>
      <c r="AF27" s="14">
        <v>48.105559999999997</v>
      </c>
      <c r="AG27" s="14">
        <v>0.36342999999999998</v>
      </c>
      <c r="AH27" s="9" t="s">
        <v>524</v>
      </c>
      <c r="AI27" s="15" t="s">
        <v>396</v>
      </c>
      <c r="AJ27" s="9" t="s">
        <v>293</v>
      </c>
      <c r="AK27" s="9" t="s">
        <v>635</v>
      </c>
      <c r="AL27" s="9" t="s">
        <v>636</v>
      </c>
      <c r="AM27" s="9"/>
      <c r="AN27" s="9" t="s">
        <v>637</v>
      </c>
      <c r="AO27" s="9"/>
      <c r="AP27" s="9" t="s">
        <v>144</v>
      </c>
      <c r="AQ27" s="9" t="s">
        <v>298</v>
      </c>
      <c r="AR27" t="b">
        <v>0</v>
      </c>
      <c r="AS27" s="10"/>
      <c r="AT27" s="10" t="s">
        <v>299</v>
      </c>
      <c r="AU27" s="9"/>
      <c r="AV27" t="b">
        <v>0</v>
      </c>
      <c r="AW27" s="12"/>
      <c r="AX27" s="11"/>
      <c r="AY27" s="9"/>
      <c r="AZ27" t="b">
        <v>0</v>
      </c>
      <c r="BA27" s="9"/>
      <c r="BB27" s="12"/>
      <c r="BC27" s="11"/>
      <c r="BD27" s="9" t="s">
        <v>300</v>
      </c>
      <c r="BE27" s="9" t="s">
        <v>47</v>
      </c>
      <c r="BF27" s="9" t="s">
        <v>402</v>
      </c>
      <c r="BG27" s="9" t="s">
        <v>529</v>
      </c>
      <c r="BH27" s="9" t="s">
        <v>304</v>
      </c>
      <c r="BI27" s="9" t="s">
        <v>638</v>
      </c>
      <c r="BJ27" s="9" t="s">
        <v>639</v>
      </c>
      <c r="BK27" s="11">
        <v>856</v>
      </c>
      <c r="BL27" s="16">
        <v>166.08049500000001</v>
      </c>
      <c r="BM27" s="10"/>
      <c r="BN27" s="10"/>
      <c r="BO27" s="10"/>
      <c r="BP27" s="16"/>
      <c r="BQ27" s="16"/>
      <c r="BR27" s="9"/>
      <c r="BS27" s="9"/>
      <c r="BT27" s="9"/>
      <c r="BU27" s="9"/>
      <c r="BV27" s="9"/>
      <c r="BW27" s="10"/>
      <c r="BX27" s="15" t="s">
        <v>640</v>
      </c>
      <c r="BY27" s="10"/>
      <c r="BZ27" s="10"/>
      <c r="CA27" s="10"/>
      <c r="CB27" t="b">
        <v>0</v>
      </c>
      <c r="CC27" s="9" t="s">
        <v>308</v>
      </c>
      <c r="CD27" s="9" t="s">
        <v>309</v>
      </c>
    </row>
    <row r="28" spans="1:82">
      <c r="A28" s="8">
        <v>3468</v>
      </c>
      <c r="B28" s="9" t="s">
        <v>641</v>
      </c>
      <c r="C28" s="9" t="s">
        <v>311</v>
      </c>
      <c r="D28" s="10">
        <v>45911</v>
      </c>
      <c r="E28" s="9" t="s">
        <v>642</v>
      </c>
      <c r="F28" s="9" t="s">
        <v>643</v>
      </c>
      <c r="G28" s="9" t="s">
        <v>644</v>
      </c>
      <c r="H28" s="9" t="s">
        <v>281</v>
      </c>
      <c r="I28" s="9" t="s">
        <v>282</v>
      </c>
      <c r="J28" s="9" t="s">
        <v>283</v>
      </c>
      <c r="K28" s="9" t="s">
        <v>284</v>
      </c>
      <c r="L28" s="9" t="s">
        <v>645</v>
      </c>
      <c r="M28" s="9" t="s">
        <v>646</v>
      </c>
      <c r="N28" s="8">
        <v>1</v>
      </c>
      <c r="O28" s="9" t="s">
        <v>647</v>
      </c>
      <c r="P28" s="11">
        <v>277.09500000000003</v>
      </c>
      <c r="Q28" s="11">
        <v>224</v>
      </c>
      <c r="R28" s="11">
        <v>224</v>
      </c>
      <c r="S28" s="11">
        <v>1247</v>
      </c>
      <c r="T28" s="11">
        <v>345537.46500000003</v>
      </c>
      <c r="U28" s="12">
        <v>5.3999999999999999E-2</v>
      </c>
      <c r="V28" s="12">
        <v>0.87</v>
      </c>
      <c r="W28" s="11">
        <v>1220.5999999999999</v>
      </c>
      <c r="X28" s="9" t="s">
        <v>288</v>
      </c>
      <c r="Y28" s="10">
        <v>45322</v>
      </c>
      <c r="Z28" s="13">
        <v>0.1208</v>
      </c>
      <c r="AA28" t="b">
        <v>0</v>
      </c>
      <c r="AB28" t="b">
        <v>0</v>
      </c>
      <c r="AC28" s="9" t="s">
        <v>289</v>
      </c>
      <c r="AD28" s="9" t="s">
        <v>290</v>
      </c>
      <c r="AE28" s="8">
        <v>1216.848</v>
      </c>
      <c r="AF28" s="14">
        <v>43.884340000000002</v>
      </c>
      <c r="AG28" s="14">
        <v>1.3712299999999999</v>
      </c>
      <c r="AH28" s="9" t="s">
        <v>291</v>
      </c>
      <c r="AI28" s="15" t="s">
        <v>648</v>
      </c>
      <c r="AJ28" s="9" t="s">
        <v>293</v>
      </c>
      <c r="AK28" s="9" t="s">
        <v>649</v>
      </c>
      <c r="AL28" s="9" t="s">
        <v>650</v>
      </c>
      <c r="AM28" s="9"/>
      <c r="AN28" s="9" t="s">
        <v>651</v>
      </c>
      <c r="AO28" s="9"/>
      <c r="AP28" s="9" t="s">
        <v>469</v>
      </c>
      <c r="AQ28" s="9" t="s">
        <v>372</v>
      </c>
      <c r="AR28" t="b">
        <v>0</v>
      </c>
      <c r="AS28" s="10"/>
      <c r="AT28" s="10" t="s">
        <v>299</v>
      </c>
      <c r="AU28" s="9"/>
      <c r="AV28" t="b">
        <v>0</v>
      </c>
      <c r="AW28" s="12"/>
      <c r="AX28" s="11"/>
      <c r="AY28" s="9"/>
      <c r="AZ28" t="b">
        <v>0</v>
      </c>
      <c r="BA28" s="9"/>
      <c r="BB28" s="12"/>
      <c r="BC28" s="11"/>
      <c r="BD28" s="9" t="s">
        <v>325</v>
      </c>
      <c r="BE28" s="9" t="s">
        <v>86</v>
      </c>
      <c r="BF28" s="9" t="s">
        <v>373</v>
      </c>
      <c r="BG28" s="9" t="s">
        <v>416</v>
      </c>
      <c r="BH28" s="9" t="s">
        <v>304</v>
      </c>
      <c r="BI28" s="9" t="s">
        <v>328</v>
      </c>
      <c r="BJ28" s="9" t="s">
        <v>329</v>
      </c>
      <c r="BK28" s="11">
        <v>856</v>
      </c>
      <c r="BL28" s="16">
        <v>173.09386499999999</v>
      </c>
      <c r="BM28" s="10"/>
      <c r="BN28" s="10"/>
      <c r="BO28" s="10"/>
      <c r="BP28" s="16"/>
      <c r="BQ28" s="16"/>
      <c r="BR28" s="9"/>
      <c r="BS28" s="9"/>
      <c r="BT28" s="9"/>
      <c r="BU28" s="9"/>
      <c r="BV28" s="9"/>
      <c r="BW28" s="10"/>
      <c r="BX28" s="15" t="s">
        <v>652</v>
      </c>
      <c r="BY28" s="10"/>
      <c r="BZ28" s="10"/>
      <c r="CA28" s="10"/>
      <c r="CB28" t="b">
        <v>0</v>
      </c>
      <c r="CC28" s="9" t="s">
        <v>308</v>
      </c>
      <c r="CD28" s="9" t="s">
        <v>309</v>
      </c>
    </row>
    <row r="29" spans="1:82" ht="29.1">
      <c r="A29" s="8">
        <v>97461</v>
      </c>
      <c r="B29" s="9" t="s">
        <v>653</v>
      </c>
      <c r="C29" s="9" t="s">
        <v>628</v>
      </c>
      <c r="D29" s="10">
        <v>45909</v>
      </c>
      <c r="E29" s="9" t="s">
        <v>654</v>
      </c>
      <c r="F29" s="9" t="s">
        <v>655</v>
      </c>
      <c r="G29" s="9" t="s">
        <v>656</v>
      </c>
      <c r="H29" s="9" t="s">
        <v>315</v>
      </c>
      <c r="I29" s="9" t="s">
        <v>282</v>
      </c>
      <c r="J29" s="9" t="s">
        <v>283</v>
      </c>
      <c r="K29" s="9" t="s">
        <v>284</v>
      </c>
      <c r="L29" s="9" t="s">
        <v>657</v>
      </c>
      <c r="M29" s="9" t="s">
        <v>658</v>
      </c>
      <c r="N29" s="8">
        <v>1</v>
      </c>
      <c r="O29" s="9" t="s">
        <v>659</v>
      </c>
      <c r="P29" s="11">
        <v>326.23500000000001</v>
      </c>
      <c r="Q29" s="11">
        <v>265</v>
      </c>
      <c r="R29" s="11">
        <v>249.9</v>
      </c>
      <c r="S29" s="11">
        <v>1098</v>
      </c>
      <c r="T29" s="11">
        <v>358206.03</v>
      </c>
      <c r="U29" s="12">
        <v>5.3999999999999999E-2</v>
      </c>
      <c r="V29" s="12">
        <v>0.87773865249610294</v>
      </c>
      <c r="W29" s="11">
        <v>1092.9412725987399</v>
      </c>
      <c r="X29" s="9" t="s">
        <v>288</v>
      </c>
      <c r="Y29" s="10">
        <v>45001</v>
      </c>
      <c r="Z29" s="13">
        <v>0.12870000000000001</v>
      </c>
      <c r="AA29" t="b">
        <v>0</v>
      </c>
      <c r="AB29" t="b">
        <v>0</v>
      </c>
      <c r="AC29" s="9" t="s">
        <v>289</v>
      </c>
      <c r="AD29" s="9" t="s">
        <v>290</v>
      </c>
      <c r="AE29" s="8">
        <v>1432.643</v>
      </c>
      <c r="AF29" s="14">
        <v>46.277569999999997</v>
      </c>
      <c r="AG29" s="14">
        <v>1.84941</v>
      </c>
      <c r="AH29" s="9" t="s">
        <v>524</v>
      </c>
      <c r="AI29" s="15" t="s">
        <v>660</v>
      </c>
      <c r="AJ29" s="9" t="s">
        <v>293</v>
      </c>
      <c r="AK29" s="9" t="s">
        <v>661</v>
      </c>
      <c r="AL29" s="9" t="s">
        <v>662</v>
      </c>
      <c r="AM29" s="9"/>
      <c r="AN29" s="9" t="s">
        <v>663</v>
      </c>
      <c r="AO29" s="9" t="s">
        <v>664</v>
      </c>
      <c r="AP29" s="9" t="s">
        <v>108</v>
      </c>
      <c r="AQ29" s="9" t="s">
        <v>341</v>
      </c>
      <c r="AR29" t="b">
        <v>0</v>
      </c>
      <c r="AS29" s="10"/>
      <c r="AT29" s="10" t="s">
        <v>299</v>
      </c>
      <c r="AU29" s="9"/>
      <c r="AV29" t="b">
        <v>0</v>
      </c>
      <c r="AW29" s="12"/>
      <c r="AX29" s="11"/>
      <c r="AY29" s="9"/>
      <c r="AZ29" t="b">
        <v>0</v>
      </c>
      <c r="BA29" s="9"/>
      <c r="BB29" s="12"/>
      <c r="BC29" s="11"/>
      <c r="BD29" s="9" t="s">
        <v>300</v>
      </c>
      <c r="BE29" s="9" t="s">
        <v>47</v>
      </c>
      <c r="BF29" s="9" t="s">
        <v>373</v>
      </c>
      <c r="BG29" s="9" t="s">
        <v>327</v>
      </c>
      <c r="BH29" s="9" t="s">
        <v>304</v>
      </c>
      <c r="BI29" s="9" t="s">
        <v>638</v>
      </c>
      <c r="BJ29" s="9" t="s">
        <v>639</v>
      </c>
      <c r="BK29" s="11">
        <v>856</v>
      </c>
      <c r="BL29" s="16">
        <v>191.12824499999999</v>
      </c>
      <c r="BM29" s="10"/>
      <c r="BN29" s="10"/>
      <c r="BO29" s="10"/>
      <c r="BP29" s="16"/>
      <c r="BQ29" s="16"/>
      <c r="BR29" s="9"/>
      <c r="BS29" s="9"/>
      <c r="BT29" s="9"/>
      <c r="BU29" s="9"/>
      <c r="BV29" s="9"/>
      <c r="BW29" s="10"/>
      <c r="BX29" s="15" t="s">
        <v>665</v>
      </c>
      <c r="BY29" s="10"/>
      <c r="BZ29" s="10"/>
      <c r="CA29" s="10"/>
      <c r="CB29" t="b">
        <v>0</v>
      </c>
      <c r="CC29" s="9" t="s">
        <v>308</v>
      </c>
      <c r="CD29" s="9" t="s">
        <v>309</v>
      </c>
    </row>
    <row r="30" spans="1:82">
      <c r="A30" s="8">
        <v>90284</v>
      </c>
      <c r="B30" s="9" t="s">
        <v>666</v>
      </c>
      <c r="C30" s="9" t="s">
        <v>628</v>
      </c>
      <c r="D30" s="10">
        <v>45905</v>
      </c>
      <c r="E30" s="9" t="s">
        <v>667</v>
      </c>
      <c r="F30" s="9" t="s">
        <v>668</v>
      </c>
      <c r="G30" s="9" t="s">
        <v>669</v>
      </c>
      <c r="H30" s="9" t="s">
        <v>281</v>
      </c>
      <c r="I30" s="9" t="s">
        <v>282</v>
      </c>
      <c r="J30" s="9" t="s">
        <v>283</v>
      </c>
      <c r="K30" s="9" t="s">
        <v>284</v>
      </c>
      <c r="L30" s="9" t="s">
        <v>670</v>
      </c>
      <c r="M30" s="9" t="s">
        <v>671</v>
      </c>
      <c r="N30" s="8">
        <v>1</v>
      </c>
      <c r="O30" s="9" t="s">
        <v>672</v>
      </c>
      <c r="P30" s="11">
        <v>124.215</v>
      </c>
      <c r="Q30" s="11">
        <v>110</v>
      </c>
      <c r="R30" s="11">
        <v>110</v>
      </c>
      <c r="S30" s="11">
        <v>1280</v>
      </c>
      <c r="T30" s="11">
        <v>158995.20000000001</v>
      </c>
      <c r="U30" s="12">
        <v>5.3999999999999999E-2</v>
      </c>
      <c r="V30" s="12">
        <v>0.78739999999999999</v>
      </c>
      <c r="W30" s="11">
        <v>1259.1099999999999</v>
      </c>
      <c r="X30" s="9" t="s">
        <v>288</v>
      </c>
      <c r="Y30" s="10">
        <v>45120</v>
      </c>
      <c r="Z30" s="13">
        <v>0.12740000000000001</v>
      </c>
      <c r="AA30" t="b">
        <v>0</v>
      </c>
      <c r="AB30" t="b">
        <v>0</v>
      </c>
      <c r="AC30" s="9" t="s">
        <v>289</v>
      </c>
      <c r="AD30" s="9" t="s">
        <v>290</v>
      </c>
      <c r="AE30" s="8">
        <v>545.48299999999995</v>
      </c>
      <c r="AF30" s="14">
        <v>44.180660000000003</v>
      </c>
      <c r="AG30" s="14">
        <v>3.4576500000000001</v>
      </c>
      <c r="AH30" s="9" t="s">
        <v>524</v>
      </c>
      <c r="AI30" s="15" t="s">
        <v>673</v>
      </c>
      <c r="AJ30" s="9" t="s">
        <v>293</v>
      </c>
      <c r="AK30" s="9" t="s">
        <v>674</v>
      </c>
      <c r="AL30" s="9" t="s">
        <v>675</v>
      </c>
      <c r="AM30" s="9"/>
      <c r="AN30" s="9" t="s">
        <v>676</v>
      </c>
      <c r="AO30" s="9"/>
      <c r="AP30" s="9" t="s">
        <v>323</v>
      </c>
      <c r="AQ30" s="9" t="s">
        <v>355</v>
      </c>
      <c r="AR30" t="b">
        <v>0</v>
      </c>
      <c r="AS30" s="10"/>
      <c r="AT30" s="10" t="s">
        <v>299</v>
      </c>
      <c r="AU30" s="9"/>
      <c r="AV30" t="b">
        <v>0</v>
      </c>
      <c r="AW30" s="12"/>
      <c r="AX30" s="11"/>
      <c r="AY30" s="9"/>
      <c r="AZ30" t="b">
        <v>0</v>
      </c>
      <c r="BA30" s="9"/>
      <c r="BB30" s="12"/>
      <c r="BC30" s="11"/>
      <c r="BD30" s="9" t="s">
        <v>325</v>
      </c>
      <c r="BE30" s="9" t="s">
        <v>47</v>
      </c>
      <c r="BF30" s="9" t="s">
        <v>326</v>
      </c>
      <c r="BG30" s="9" t="s">
        <v>357</v>
      </c>
      <c r="BH30" s="9" t="s">
        <v>304</v>
      </c>
      <c r="BI30" s="9" t="s">
        <v>638</v>
      </c>
      <c r="BJ30" s="9" t="s">
        <v>639</v>
      </c>
      <c r="BK30" s="11">
        <v>856</v>
      </c>
      <c r="BL30" s="16">
        <v>116.98690499999999</v>
      </c>
      <c r="BM30" s="10"/>
      <c r="BN30" s="10"/>
      <c r="BO30" s="10"/>
      <c r="BP30" s="16"/>
      <c r="BQ30" s="16"/>
      <c r="BR30" s="9"/>
      <c r="BS30" s="9"/>
      <c r="BT30" s="9"/>
      <c r="BU30" s="9"/>
      <c r="BV30" s="9"/>
      <c r="BW30" s="10"/>
      <c r="BX30" s="15" t="s">
        <v>677</v>
      </c>
      <c r="BY30" s="10"/>
      <c r="BZ30" s="10"/>
      <c r="CA30" s="10"/>
      <c r="CB30" t="b">
        <v>0</v>
      </c>
      <c r="CC30" s="9" t="s">
        <v>308</v>
      </c>
      <c r="CD30" s="9" t="s">
        <v>309</v>
      </c>
    </row>
    <row r="31" spans="1:82">
      <c r="A31" s="8">
        <v>96677</v>
      </c>
      <c r="B31" s="9" t="s">
        <v>678</v>
      </c>
      <c r="C31" s="9" t="s">
        <v>311</v>
      </c>
      <c r="D31" s="10">
        <v>45901</v>
      </c>
      <c r="E31" s="9" t="s">
        <v>679</v>
      </c>
      <c r="F31" s="9" t="s">
        <v>680</v>
      </c>
      <c r="G31" s="9" t="s">
        <v>681</v>
      </c>
      <c r="H31" s="9" t="s">
        <v>281</v>
      </c>
      <c r="I31" s="9" t="s">
        <v>282</v>
      </c>
      <c r="J31" s="9" t="s">
        <v>283</v>
      </c>
      <c r="K31" s="9" t="s">
        <v>284</v>
      </c>
      <c r="L31" s="9" t="s">
        <v>682</v>
      </c>
      <c r="M31" s="9" t="s">
        <v>683</v>
      </c>
      <c r="N31" s="8">
        <v>1</v>
      </c>
      <c r="O31" s="9" t="s">
        <v>684</v>
      </c>
      <c r="P31" s="11">
        <v>318.5</v>
      </c>
      <c r="Q31" s="11">
        <v>250</v>
      </c>
      <c r="R31" s="11">
        <v>249</v>
      </c>
      <c r="S31" s="11">
        <v>1227</v>
      </c>
      <c r="T31" s="11">
        <v>390799.5</v>
      </c>
      <c r="U31" s="12">
        <v>5.3999999999999999E-2</v>
      </c>
      <c r="V31" s="12">
        <v>0.86899999999999999</v>
      </c>
      <c r="W31" s="11">
        <v>1230.9000000000001</v>
      </c>
      <c r="X31" s="9" t="s">
        <v>288</v>
      </c>
      <c r="Y31" s="10">
        <v>45282</v>
      </c>
      <c r="Z31" s="13">
        <v>0.12089999999999999</v>
      </c>
      <c r="AA31" t="b">
        <v>0</v>
      </c>
      <c r="AB31" t="b">
        <v>0</v>
      </c>
      <c r="AC31" s="9" t="s">
        <v>289</v>
      </c>
      <c r="AD31" s="9" t="s">
        <v>290</v>
      </c>
      <c r="AE31" s="8">
        <v>1398.6759999999999</v>
      </c>
      <c r="AF31" s="14">
        <v>44.989339999999999</v>
      </c>
      <c r="AG31" s="14">
        <v>5.0530499999999998</v>
      </c>
      <c r="AH31" s="9" t="s">
        <v>291</v>
      </c>
      <c r="AI31" s="15" t="s">
        <v>396</v>
      </c>
      <c r="AJ31" s="9" t="s">
        <v>293</v>
      </c>
      <c r="AK31" s="9" t="s">
        <v>685</v>
      </c>
      <c r="AL31" s="9" t="s">
        <v>686</v>
      </c>
      <c r="AM31" s="9"/>
      <c r="AN31" s="9" t="s">
        <v>687</v>
      </c>
      <c r="AO31" s="9" t="s">
        <v>688</v>
      </c>
      <c r="AP31" s="9" t="s">
        <v>689</v>
      </c>
      <c r="AQ31" s="9" t="s">
        <v>372</v>
      </c>
      <c r="AR31" t="b">
        <v>0</v>
      </c>
      <c r="AS31" s="10"/>
      <c r="AT31" s="10" t="s">
        <v>299</v>
      </c>
      <c r="AU31" s="9"/>
      <c r="AV31" t="b">
        <v>0</v>
      </c>
      <c r="AW31" s="12"/>
      <c r="AX31" s="11"/>
      <c r="AY31" s="9"/>
      <c r="AZ31" t="b">
        <v>0</v>
      </c>
      <c r="BA31" s="9"/>
      <c r="BB31" s="12"/>
      <c r="BC31" s="11"/>
      <c r="BD31" s="9" t="s">
        <v>300</v>
      </c>
      <c r="BE31" s="9" t="s">
        <v>86</v>
      </c>
      <c r="BF31" s="9" t="s">
        <v>690</v>
      </c>
      <c r="BG31" s="9" t="s">
        <v>489</v>
      </c>
      <c r="BH31" s="9" t="s">
        <v>304</v>
      </c>
      <c r="BI31" s="9" t="s">
        <v>328</v>
      </c>
      <c r="BJ31" s="9" t="s">
        <v>329</v>
      </c>
      <c r="BK31" s="11">
        <v>856</v>
      </c>
      <c r="BL31" s="16">
        <v>188.2895</v>
      </c>
      <c r="BM31" s="10"/>
      <c r="BN31" s="10"/>
      <c r="BO31" s="10"/>
      <c r="BP31" s="16"/>
      <c r="BQ31" s="16"/>
      <c r="BR31" s="9"/>
      <c r="BS31" s="9"/>
      <c r="BT31" s="9"/>
      <c r="BU31" s="9"/>
      <c r="BV31" s="9"/>
      <c r="BW31" s="10"/>
      <c r="BX31" s="15" t="s">
        <v>691</v>
      </c>
      <c r="BY31" s="10"/>
      <c r="BZ31" s="10"/>
      <c r="CA31" s="10"/>
      <c r="CB31" t="b">
        <v>0</v>
      </c>
      <c r="CC31" s="9" t="s">
        <v>308</v>
      </c>
      <c r="CD31" s="9" t="s">
        <v>309</v>
      </c>
    </row>
    <row r="32" spans="1:82">
      <c r="A32" s="8">
        <v>58967</v>
      </c>
      <c r="B32" s="9" t="s">
        <v>692</v>
      </c>
      <c r="C32" s="9" t="s">
        <v>405</v>
      </c>
      <c r="D32" s="10">
        <v>45898</v>
      </c>
      <c r="E32" s="9" t="s">
        <v>693</v>
      </c>
      <c r="F32" s="9" t="s">
        <v>694</v>
      </c>
      <c r="G32" s="9" t="s">
        <v>695</v>
      </c>
      <c r="H32" s="9" t="s">
        <v>281</v>
      </c>
      <c r="I32" s="9" t="s">
        <v>282</v>
      </c>
      <c r="J32" s="9" t="s">
        <v>283</v>
      </c>
      <c r="K32" s="9" t="s">
        <v>284</v>
      </c>
      <c r="L32" s="9" t="s">
        <v>696</v>
      </c>
      <c r="M32" s="9" t="s">
        <v>697</v>
      </c>
      <c r="N32" s="8">
        <v>1</v>
      </c>
      <c r="O32" s="9" t="s">
        <v>698</v>
      </c>
      <c r="P32" s="11">
        <v>318.5</v>
      </c>
      <c r="Q32" s="11">
        <v>250</v>
      </c>
      <c r="R32" s="11">
        <v>249</v>
      </c>
      <c r="S32" s="11">
        <v>1275</v>
      </c>
      <c r="T32" s="11">
        <v>406087.5</v>
      </c>
      <c r="U32" s="12">
        <v>5.3999999999999999E-2</v>
      </c>
      <c r="V32" s="12">
        <v>0.87009999999999998</v>
      </c>
      <c r="W32" s="11">
        <v>1281</v>
      </c>
      <c r="X32" s="9" t="s">
        <v>288</v>
      </c>
      <c r="Y32" s="10">
        <v>45492</v>
      </c>
      <c r="Z32" s="13">
        <v>0.1118</v>
      </c>
      <c r="AA32" t="b">
        <v>0</v>
      </c>
      <c r="AB32" t="b">
        <v>0</v>
      </c>
      <c r="AC32" s="9" t="s">
        <v>289</v>
      </c>
      <c r="AD32" s="9" t="s">
        <v>290</v>
      </c>
      <c r="AE32" s="8">
        <v>1398.6759999999999</v>
      </c>
      <c r="AF32" s="14">
        <v>43.291960000000003</v>
      </c>
      <c r="AG32" s="14">
        <v>2.6776399999999998</v>
      </c>
      <c r="AH32" s="9" t="s">
        <v>351</v>
      </c>
      <c r="AI32" s="15" t="s">
        <v>396</v>
      </c>
      <c r="AJ32" s="9" t="s">
        <v>293</v>
      </c>
      <c r="AK32" s="9" t="s">
        <v>699</v>
      </c>
      <c r="AL32" s="9" t="s">
        <v>700</v>
      </c>
      <c r="AM32" s="9"/>
      <c r="AN32" s="9" t="s">
        <v>701</v>
      </c>
      <c r="AO32" s="9"/>
      <c r="AP32" s="9" t="s">
        <v>139</v>
      </c>
      <c r="AQ32" s="9" t="s">
        <v>372</v>
      </c>
      <c r="AR32" t="b">
        <v>0</v>
      </c>
      <c r="AS32" s="10"/>
      <c r="AT32" s="10" t="s">
        <v>299</v>
      </c>
      <c r="AU32" s="9"/>
      <c r="AV32" t="b">
        <v>0</v>
      </c>
      <c r="AW32" s="12"/>
      <c r="AX32" s="11"/>
      <c r="AY32" s="9"/>
      <c r="AZ32" t="b">
        <v>0</v>
      </c>
      <c r="BA32" s="9"/>
      <c r="BB32" s="12"/>
      <c r="BC32" s="11"/>
      <c r="BD32" s="9" t="s">
        <v>300</v>
      </c>
      <c r="BE32" s="9" t="s">
        <v>301</v>
      </c>
      <c r="BF32" s="9" t="s">
        <v>702</v>
      </c>
      <c r="BG32" s="9" t="s">
        <v>357</v>
      </c>
      <c r="BH32" s="9" t="s">
        <v>304</v>
      </c>
      <c r="BI32" s="9" t="s">
        <v>417</v>
      </c>
      <c r="BJ32" s="9" t="s">
        <v>418</v>
      </c>
      <c r="BK32" s="11">
        <v>856</v>
      </c>
      <c r="BL32" s="16">
        <v>188.2895</v>
      </c>
      <c r="BM32" s="10"/>
      <c r="BN32" s="10"/>
      <c r="BO32" s="10"/>
      <c r="BP32" s="16"/>
      <c r="BQ32" s="16"/>
      <c r="BR32" s="9"/>
      <c r="BS32" s="9"/>
      <c r="BT32" s="9"/>
      <c r="BU32" s="9"/>
      <c r="BV32" s="9"/>
      <c r="BW32" s="10"/>
      <c r="BX32" s="15" t="s">
        <v>703</v>
      </c>
      <c r="BY32" s="10"/>
      <c r="BZ32" s="10"/>
      <c r="CA32" s="10"/>
      <c r="CB32" t="b">
        <v>0</v>
      </c>
      <c r="CC32" s="9" t="s">
        <v>308</v>
      </c>
      <c r="CD32" s="9" t="s">
        <v>309</v>
      </c>
    </row>
    <row r="33" spans="1:82">
      <c r="A33" s="8">
        <v>3085</v>
      </c>
      <c r="B33" s="9" t="s">
        <v>704</v>
      </c>
      <c r="C33" s="9" t="s">
        <v>517</v>
      </c>
      <c r="D33" s="10">
        <v>45898</v>
      </c>
      <c r="E33" s="9" t="s">
        <v>705</v>
      </c>
      <c r="F33" s="9" t="s">
        <v>706</v>
      </c>
      <c r="G33" s="9" t="s">
        <v>707</v>
      </c>
      <c r="H33" s="9" t="s">
        <v>281</v>
      </c>
      <c r="I33" s="9" t="s">
        <v>282</v>
      </c>
      <c r="J33" s="9" t="s">
        <v>283</v>
      </c>
      <c r="K33" s="9" t="s">
        <v>284</v>
      </c>
      <c r="L33" s="9" t="s">
        <v>708</v>
      </c>
      <c r="M33" s="9" t="s">
        <v>709</v>
      </c>
      <c r="N33" s="8">
        <v>1</v>
      </c>
      <c r="O33" s="9" t="s">
        <v>710</v>
      </c>
      <c r="P33" s="11">
        <v>324.87</v>
      </c>
      <c r="Q33" s="11">
        <v>250</v>
      </c>
      <c r="R33" s="11">
        <v>249</v>
      </c>
      <c r="S33" s="11">
        <v>1299</v>
      </c>
      <c r="T33" s="11">
        <v>422006.13</v>
      </c>
      <c r="U33" s="12">
        <v>5.3999999999999999E-2</v>
      </c>
      <c r="V33" s="12">
        <v>0.86199999999999999</v>
      </c>
      <c r="W33" s="11">
        <v>1302.4000000000001</v>
      </c>
      <c r="X33" s="9" t="s">
        <v>288</v>
      </c>
      <c r="Y33" s="10">
        <v>45300</v>
      </c>
      <c r="Z33" s="13">
        <v>0.1208</v>
      </c>
      <c r="AA33" t="b">
        <v>0</v>
      </c>
      <c r="AB33" t="b">
        <v>0</v>
      </c>
      <c r="AC33" s="9" t="s">
        <v>289</v>
      </c>
      <c r="AD33" s="9" t="s">
        <v>290</v>
      </c>
      <c r="AE33" s="8">
        <v>1426.6489999999999</v>
      </c>
      <c r="AF33" s="14">
        <v>43.304009999999998</v>
      </c>
      <c r="AG33" s="14">
        <v>2.0753599999999999</v>
      </c>
      <c r="AH33" s="9" t="s">
        <v>524</v>
      </c>
      <c r="AI33" s="15" t="s">
        <v>396</v>
      </c>
      <c r="AJ33" s="9" t="s">
        <v>293</v>
      </c>
      <c r="AK33" s="9" t="s">
        <v>711</v>
      </c>
      <c r="AL33" s="9" t="s">
        <v>712</v>
      </c>
      <c r="AM33" s="9"/>
      <c r="AN33" s="9" t="s">
        <v>713</v>
      </c>
      <c r="AO33" s="9"/>
      <c r="AP33" s="9" t="s">
        <v>469</v>
      </c>
      <c r="AQ33" s="9" t="s">
        <v>372</v>
      </c>
      <c r="AR33" t="b">
        <v>0</v>
      </c>
      <c r="AS33" s="10"/>
      <c r="AT33" s="10" t="s">
        <v>299</v>
      </c>
      <c r="AU33" s="9"/>
      <c r="AV33" t="b">
        <v>0</v>
      </c>
      <c r="AW33" s="12"/>
      <c r="AX33" s="11"/>
      <c r="AY33" s="9"/>
      <c r="AZ33" t="b">
        <v>0</v>
      </c>
      <c r="BA33" s="9"/>
      <c r="BB33" s="12"/>
      <c r="BC33" s="11"/>
      <c r="BD33" s="9" t="s">
        <v>300</v>
      </c>
      <c r="BE33" s="9" t="s">
        <v>47</v>
      </c>
      <c r="BF33" s="9" t="s">
        <v>702</v>
      </c>
      <c r="BG33" s="9" t="s">
        <v>357</v>
      </c>
      <c r="BH33" s="9" t="s">
        <v>304</v>
      </c>
      <c r="BI33" s="9" t="s">
        <v>530</v>
      </c>
      <c r="BJ33" s="9" t="s">
        <v>531</v>
      </c>
      <c r="BK33" s="11">
        <v>856</v>
      </c>
      <c r="BL33" s="16">
        <v>190.62728999999999</v>
      </c>
      <c r="BM33" s="10"/>
      <c r="BN33" s="10"/>
      <c r="BO33" s="10"/>
      <c r="BP33" s="16"/>
      <c r="BQ33" s="16"/>
      <c r="BR33" s="9"/>
      <c r="BS33" s="9"/>
      <c r="BT33" s="9"/>
      <c r="BU33" s="9"/>
      <c r="BV33" s="9"/>
      <c r="BW33" s="10"/>
      <c r="BX33" s="15" t="s">
        <v>714</v>
      </c>
      <c r="BY33" s="10"/>
      <c r="BZ33" s="10"/>
      <c r="CA33" s="10"/>
      <c r="CB33" t="b">
        <v>0</v>
      </c>
      <c r="CC33" s="9" t="s">
        <v>308</v>
      </c>
      <c r="CD33" s="9" t="s">
        <v>309</v>
      </c>
    </row>
    <row r="34" spans="1:82">
      <c r="A34" s="8">
        <v>97565</v>
      </c>
      <c r="B34" s="9" t="s">
        <v>715</v>
      </c>
      <c r="C34" s="9" t="s">
        <v>311</v>
      </c>
      <c r="D34" s="10">
        <v>45890</v>
      </c>
      <c r="E34" s="9" t="s">
        <v>716</v>
      </c>
      <c r="F34" s="9" t="s">
        <v>717</v>
      </c>
      <c r="G34" s="9" t="s">
        <v>718</v>
      </c>
      <c r="H34" s="9" t="s">
        <v>281</v>
      </c>
      <c r="I34" s="9" t="s">
        <v>282</v>
      </c>
      <c r="J34" s="9" t="s">
        <v>719</v>
      </c>
      <c r="K34" s="9" t="s">
        <v>284</v>
      </c>
      <c r="L34" s="9" t="s">
        <v>720</v>
      </c>
      <c r="M34" s="9" t="s">
        <v>721</v>
      </c>
      <c r="N34" s="8">
        <v>1</v>
      </c>
      <c r="O34" s="9" t="s">
        <v>722</v>
      </c>
      <c r="P34" s="11">
        <v>254.8</v>
      </c>
      <c r="Q34" s="11">
        <v>208</v>
      </c>
      <c r="R34" s="11">
        <v>208</v>
      </c>
      <c r="S34" s="11">
        <v>1242</v>
      </c>
      <c r="T34" s="11">
        <v>316461.59999999998</v>
      </c>
      <c r="U34" s="12">
        <v>5.3999999999999999E-2</v>
      </c>
      <c r="V34" s="12">
        <v>0.86799999999999999</v>
      </c>
      <c r="W34" s="11">
        <v>1220.0999999999999</v>
      </c>
      <c r="X34" s="9" t="s">
        <v>288</v>
      </c>
      <c r="Y34" s="10">
        <v>45320</v>
      </c>
      <c r="Z34" s="13">
        <v>0.1208</v>
      </c>
      <c r="AA34" t="b">
        <v>0</v>
      </c>
      <c r="AB34" t="b">
        <v>0</v>
      </c>
      <c r="AC34" s="9" t="s">
        <v>289</v>
      </c>
      <c r="AD34" s="9" t="s">
        <v>290</v>
      </c>
      <c r="AE34" s="8">
        <v>1118.94</v>
      </c>
      <c r="AF34" s="14">
        <v>43.114730000000002</v>
      </c>
      <c r="AG34" s="14">
        <v>2.2963</v>
      </c>
      <c r="AH34" s="9" t="s">
        <v>291</v>
      </c>
      <c r="AI34" s="15" t="s">
        <v>319</v>
      </c>
      <c r="AJ34" s="9" t="s">
        <v>293</v>
      </c>
      <c r="AK34" s="9" t="s">
        <v>723</v>
      </c>
      <c r="AL34" s="9" t="s">
        <v>724</v>
      </c>
      <c r="AM34" s="9"/>
      <c r="AN34" s="9" t="s">
        <v>725</v>
      </c>
      <c r="AO34" s="9" t="s">
        <v>726</v>
      </c>
      <c r="AP34" s="9" t="s">
        <v>139</v>
      </c>
      <c r="AQ34" s="9" t="s">
        <v>372</v>
      </c>
      <c r="AR34" t="b">
        <v>0</v>
      </c>
      <c r="AS34" s="10"/>
      <c r="AT34" s="10" t="s">
        <v>299</v>
      </c>
      <c r="AU34" s="9"/>
      <c r="AV34" t="b">
        <v>0</v>
      </c>
      <c r="AW34" s="12"/>
      <c r="AX34" s="11"/>
      <c r="AY34" s="9"/>
      <c r="AZ34" t="b">
        <v>0</v>
      </c>
      <c r="BA34" s="9"/>
      <c r="BB34" s="12"/>
      <c r="BC34" s="11"/>
      <c r="BD34" s="9" t="s">
        <v>325</v>
      </c>
      <c r="BE34" s="9" t="s">
        <v>86</v>
      </c>
      <c r="BF34" s="9" t="s">
        <v>702</v>
      </c>
      <c r="BG34" s="9" t="s">
        <v>357</v>
      </c>
      <c r="BH34" s="9" t="s">
        <v>304</v>
      </c>
      <c r="BI34" s="9" t="s">
        <v>328</v>
      </c>
      <c r="BJ34" s="9" t="s">
        <v>329</v>
      </c>
      <c r="BK34" s="11">
        <v>856</v>
      </c>
      <c r="BL34" s="16">
        <v>164.91159999999999</v>
      </c>
      <c r="BM34" s="10"/>
      <c r="BN34" s="10"/>
      <c r="BO34" s="10"/>
      <c r="BP34" s="16"/>
      <c r="BQ34" s="16"/>
      <c r="BR34" s="9"/>
      <c r="BS34" s="9"/>
      <c r="BT34" s="9"/>
      <c r="BU34" s="9"/>
      <c r="BV34" s="9"/>
      <c r="BW34" s="10"/>
      <c r="BX34" s="15" t="s">
        <v>727</v>
      </c>
      <c r="BY34" s="10"/>
      <c r="BZ34" s="10"/>
      <c r="CA34" s="10"/>
      <c r="CB34" t="b">
        <v>0</v>
      </c>
      <c r="CC34" s="9" t="s">
        <v>308</v>
      </c>
      <c r="CD34" s="9" t="s">
        <v>309</v>
      </c>
    </row>
    <row r="35" spans="1:82">
      <c r="A35" s="8">
        <v>95592</v>
      </c>
      <c r="B35" s="9" t="s">
        <v>728</v>
      </c>
      <c r="C35" s="9" t="s">
        <v>311</v>
      </c>
      <c r="D35" s="10">
        <v>45888</v>
      </c>
      <c r="E35" s="9" t="s">
        <v>729</v>
      </c>
      <c r="F35" s="9" t="s">
        <v>730</v>
      </c>
      <c r="G35" s="9" t="s">
        <v>731</v>
      </c>
      <c r="H35" s="9" t="s">
        <v>281</v>
      </c>
      <c r="I35" s="9" t="s">
        <v>282</v>
      </c>
      <c r="J35" s="9" t="s">
        <v>283</v>
      </c>
      <c r="K35" s="9" t="s">
        <v>284</v>
      </c>
      <c r="L35" s="9" t="s">
        <v>732</v>
      </c>
      <c r="M35" s="9" t="s">
        <v>733</v>
      </c>
      <c r="N35" s="8">
        <v>1</v>
      </c>
      <c r="O35" s="9" t="s">
        <v>734</v>
      </c>
      <c r="P35" s="11">
        <v>277.09500000000003</v>
      </c>
      <c r="Q35" s="11">
        <v>220</v>
      </c>
      <c r="R35" s="11">
        <v>220</v>
      </c>
      <c r="S35" s="11">
        <v>1325</v>
      </c>
      <c r="T35" s="11">
        <v>367150.875</v>
      </c>
      <c r="U35" s="12">
        <v>5.3999999999999999E-2</v>
      </c>
      <c r="V35" s="12">
        <v>0.86599999999999999</v>
      </c>
      <c r="W35" s="11">
        <v>1329.9</v>
      </c>
      <c r="X35" s="9" t="s">
        <v>288</v>
      </c>
      <c r="Y35" s="10">
        <v>45133</v>
      </c>
      <c r="Z35" s="13">
        <v>0.12740000000000001</v>
      </c>
      <c r="AA35" t="b">
        <v>0</v>
      </c>
      <c r="AB35" t="b">
        <v>0</v>
      </c>
      <c r="AC35" s="9" t="s">
        <v>289</v>
      </c>
      <c r="AD35" s="9" t="s">
        <v>290</v>
      </c>
      <c r="AE35" s="8">
        <v>1216.848</v>
      </c>
      <c r="AF35" s="14">
        <v>43.262569999999997</v>
      </c>
      <c r="AG35" s="14">
        <v>2.1521400000000002</v>
      </c>
      <c r="AH35" s="9" t="s">
        <v>291</v>
      </c>
      <c r="AI35" s="15" t="s">
        <v>319</v>
      </c>
      <c r="AJ35" s="9" t="s">
        <v>293</v>
      </c>
      <c r="AK35" s="9" t="s">
        <v>735</v>
      </c>
      <c r="AL35" s="9" t="s">
        <v>736</v>
      </c>
      <c r="AM35" s="9"/>
      <c r="AN35" s="9" t="s">
        <v>737</v>
      </c>
      <c r="AO35" s="9"/>
      <c r="AP35" s="9" t="s">
        <v>469</v>
      </c>
      <c r="AQ35" s="9" t="s">
        <v>355</v>
      </c>
      <c r="AR35" t="b">
        <v>0</v>
      </c>
      <c r="AS35" s="10"/>
      <c r="AT35" s="10" t="s">
        <v>299</v>
      </c>
      <c r="AU35" s="9"/>
      <c r="AV35" t="b">
        <v>0</v>
      </c>
      <c r="AW35" s="12"/>
      <c r="AX35" s="11"/>
      <c r="AY35" s="9"/>
      <c r="AZ35" t="b">
        <v>0</v>
      </c>
      <c r="BA35" s="9"/>
      <c r="BB35" s="12"/>
      <c r="BC35" s="11"/>
      <c r="BD35" s="9" t="s">
        <v>325</v>
      </c>
      <c r="BE35" s="9" t="s">
        <v>86</v>
      </c>
      <c r="BF35" s="9" t="s">
        <v>702</v>
      </c>
      <c r="BG35" s="9" t="s">
        <v>738</v>
      </c>
      <c r="BH35" s="9" t="s">
        <v>304</v>
      </c>
      <c r="BI35" s="9" t="s">
        <v>328</v>
      </c>
      <c r="BJ35" s="9" t="s">
        <v>329</v>
      </c>
      <c r="BK35" s="11">
        <v>856</v>
      </c>
      <c r="BL35" s="16">
        <v>173.09386499999999</v>
      </c>
      <c r="BM35" s="10"/>
      <c r="BN35" s="10"/>
      <c r="BO35" s="10"/>
      <c r="BP35" s="16"/>
      <c r="BQ35" s="16"/>
      <c r="BR35" s="9"/>
      <c r="BS35" s="9"/>
      <c r="BT35" s="9"/>
      <c r="BU35" s="9"/>
      <c r="BV35" s="9"/>
      <c r="BW35" s="10"/>
      <c r="BX35" s="15" t="s">
        <v>739</v>
      </c>
      <c r="BY35" s="10"/>
      <c r="BZ35" s="10"/>
      <c r="CA35" s="10"/>
      <c r="CB35" t="b">
        <v>0</v>
      </c>
      <c r="CC35" s="9" t="s">
        <v>308</v>
      </c>
      <c r="CD35" s="9" t="s">
        <v>309</v>
      </c>
    </row>
    <row r="36" spans="1:82" ht="29.1">
      <c r="A36" s="8">
        <v>88182</v>
      </c>
      <c r="B36" s="9" t="s">
        <v>740</v>
      </c>
      <c r="C36" s="9" t="s">
        <v>277</v>
      </c>
      <c r="D36" s="10">
        <v>45881</v>
      </c>
      <c r="E36" s="9" t="s">
        <v>741</v>
      </c>
      <c r="F36" s="9" t="s">
        <v>407</v>
      </c>
      <c r="G36" s="9" t="s">
        <v>742</v>
      </c>
      <c r="H36" s="9" t="s">
        <v>281</v>
      </c>
      <c r="I36" s="9" t="s">
        <v>282</v>
      </c>
      <c r="J36" s="9" t="s">
        <v>283</v>
      </c>
      <c r="K36" s="9" t="s">
        <v>284</v>
      </c>
      <c r="L36" s="9" t="s">
        <v>743</v>
      </c>
      <c r="M36" s="9" t="s">
        <v>744</v>
      </c>
      <c r="N36" s="8">
        <v>1</v>
      </c>
      <c r="O36" s="9" t="s">
        <v>745</v>
      </c>
      <c r="P36" s="11">
        <v>277.09500000000003</v>
      </c>
      <c r="Q36" s="11">
        <v>220</v>
      </c>
      <c r="R36" s="11">
        <v>220</v>
      </c>
      <c r="S36" s="11">
        <v>1233</v>
      </c>
      <c r="T36" s="11">
        <v>341658.13500000001</v>
      </c>
      <c r="U36" s="12">
        <v>5.3999999999999999E-2</v>
      </c>
      <c r="V36" s="12">
        <v>0.87119999999999997</v>
      </c>
      <c r="W36" s="11">
        <v>1221.95</v>
      </c>
      <c r="X36" s="9" t="s">
        <v>288</v>
      </c>
      <c r="Y36" s="10">
        <v>45134</v>
      </c>
      <c r="Z36" s="13">
        <v>0.12740000000000001</v>
      </c>
      <c r="AA36" t="b">
        <v>0</v>
      </c>
      <c r="AB36" t="b">
        <v>0</v>
      </c>
      <c r="AC36" s="9" t="s">
        <v>289</v>
      </c>
      <c r="AD36" s="9" t="s">
        <v>290</v>
      </c>
      <c r="AE36" s="8">
        <v>1216.848</v>
      </c>
      <c r="AF36" s="14">
        <v>43.906239999999997</v>
      </c>
      <c r="AG36" s="14">
        <v>1.4860599999999999</v>
      </c>
      <c r="AH36" s="9" t="s">
        <v>291</v>
      </c>
      <c r="AI36" s="15" t="s">
        <v>319</v>
      </c>
      <c r="AJ36" s="9" t="s">
        <v>293</v>
      </c>
      <c r="AK36" s="9" t="s">
        <v>746</v>
      </c>
      <c r="AL36" s="9" t="s">
        <v>747</v>
      </c>
      <c r="AM36" s="9"/>
      <c r="AN36" s="9" t="s">
        <v>748</v>
      </c>
      <c r="AO36" s="9"/>
      <c r="AP36" s="9" t="s">
        <v>371</v>
      </c>
      <c r="AQ36" s="9" t="s">
        <v>298</v>
      </c>
      <c r="AR36" t="b">
        <v>0</v>
      </c>
      <c r="AS36" s="10"/>
      <c r="AT36" s="10" t="s">
        <v>299</v>
      </c>
      <c r="AU36" s="9"/>
      <c r="AV36" t="b">
        <v>0</v>
      </c>
      <c r="AW36" s="12"/>
      <c r="AX36" s="11"/>
      <c r="AY36" s="9"/>
      <c r="AZ36" t="b">
        <v>0</v>
      </c>
      <c r="BA36" s="9"/>
      <c r="BB36" s="12"/>
      <c r="BC36" s="11"/>
      <c r="BD36" s="9" t="s">
        <v>325</v>
      </c>
      <c r="BE36" s="9" t="s">
        <v>301</v>
      </c>
      <c r="BF36" s="9" t="s">
        <v>373</v>
      </c>
      <c r="BG36" s="9" t="s">
        <v>749</v>
      </c>
      <c r="BH36" s="9" t="s">
        <v>304</v>
      </c>
      <c r="BI36" s="9" t="s">
        <v>305</v>
      </c>
      <c r="BJ36" s="9" t="s">
        <v>306</v>
      </c>
      <c r="BK36" s="11">
        <v>856</v>
      </c>
      <c r="BL36" s="16">
        <v>173.09386499999999</v>
      </c>
      <c r="BM36" s="10"/>
      <c r="BN36" s="10"/>
      <c r="BO36" s="10"/>
      <c r="BP36" s="16"/>
      <c r="BQ36" s="16"/>
      <c r="BR36" s="9"/>
      <c r="BS36" s="9"/>
      <c r="BT36" s="9"/>
      <c r="BU36" s="9"/>
      <c r="BV36" s="9"/>
      <c r="BW36" s="10"/>
      <c r="BX36" s="15" t="s">
        <v>750</v>
      </c>
      <c r="BY36" s="10"/>
      <c r="BZ36" s="10"/>
      <c r="CA36" s="10"/>
      <c r="CB36" t="b">
        <v>0</v>
      </c>
      <c r="CC36" s="9" t="s">
        <v>308</v>
      </c>
      <c r="CD36" s="9" t="s">
        <v>309</v>
      </c>
    </row>
    <row r="37" spans="1:82">
      <c r="A37" s="8">
        <v>3391</v>
      </c>
      <c r="B37" s="9" t="s">
        <v>751</v>
      </c>
      <c r="C37" s="9" t="s">
        <v>517</v>
      </c>
      <c r="D37" s="10">
        <v>45880</v>
      </c>
      <c r="E37" s="9" t="s">
        <v>752</v>
      </c>
      <c r="F37" s="9" t="s">
        <v>753</v>
      </c>
      <c r="G37" s="9" t="s">
        <v>754</v>
      </c>
      <c r="H37" s="9" t="s">
        <v>281</v>
      </c>
      <c r="I37" s="9" t="s">
        <v>282</v>
      </c>
      <c r="J37" s="9" t="s">
        <v>283</v>
      </c>
      <c r="K37" s="9" t="s">
        <v>284</v>
      </c>
      <c r="L37" s="9" t="s">
        <v>755</v>
      </c>
      <c r="M37" s="9" t="s">
        <v>756</v>
      </c>
      <c r="N37" s="8">
        <v>1</v>
      </c>
      <c r="O37" s="9" t="s">
        <v>757</v>
      </c>
      <c r="P37" s="11">
        <v>331.24</v>
      </c>
      <c r="Q37" s="11">
        <v>249.9</v>
      </c>
      <c r="R37" s="11">
        <v>249.9</v>
      </c>
      <c r="S37" s="11">
        <v>1126</v>
      </c>
      <c r="T37" s="11">
        <v>372976.24</v>
      </c>
      <c r="U37" s="12">
        <v>5.3999999999999999E-2</v>
      </c>
      <c r="V37" s="12">
        <v>0.84399999999999997</v>
      </c>
      <c r="W37" s="11">
        <v>1135.5999999999999</v>
      </c>
      <c r="X37" s="9" t="s">
        <v>288</v>
      </c>
      <c r="Y37" s="10">
        <v>45315</v>
      </c>
      <c r="Z37" s="13">
        <v>0.1208</v>
      </c>
      <c r="AA37" t="b">
        <v>0</v>
      </c>
      <c r="AB37" t="b">
        <v>0</v>
      </c>
      <c r="AC37" s="9" t="s">
        <v>289</v>
      </c>
      <c r="AD37" s="9" t="s">
        <v>290</v>
      </c>
      <c r="AE37" s="8">
        <v>1454.623</v>
      </c>
      <c r="AF37" s="14">
        <v>44.561230000000002</v>
      </c>
      <c r="AG37" s="14">
        <v>0.24227000000000001</v>
      </c>
      <c r="AH37" s="9" t="s">
        <v>524</v>
      </c>
      <c r="AI37" s="15" t="s">
        <v>319</v>
      </c>
      <c r="AJ37" s="9" t="s">
        <v>293</v>
      </c>
      <c r="AK37" s="9" t="s">
        <v>758</v>
      </c>
      <c r="AL37" s="9" t="s">
        <v>759</v>
      </c>
      <c r="AM37" s="9"/>
      <c r="AN37" s="9" t="s">
        <v>760</v>
      </c>
      <c r="AO37" s="9"/>
      <c r="AP37" s="9" t="s">
        <v>123</v>
      </c>
      <c r="AQ37" s="9" t="s">
        <v>123</v>
      </c>
      <c r="AR37" t="b">
        <v>0</v>
      </c>
      <c r="AS37" s="10"/>
      <c r="AT37" s="10" t="s">
        <v>299</v>
      </c>
      <c r="AU37" s="9"/>
      <c r="AV37" t="b">
        <v>0</v>
      </c>
      <c r="AW37" s="12"/>
      <c r="AX37" s="11"/>
      <c r="AY37" s="9"/>
      <c r="AZ37" t="b">
        <v>0</v>
      </c>
      <c r="BA37" s="9"/>
      <c r="BB37" s="12"/>
      <c r="BC37" s="11"/>
      <c r="BD37" s="9" t="s">
        <v>325</v>
      </c>
      <c r="BE37" s="9" t="s">
        <v>47</v>
      </c>
      <c r="BF37" s="9" t="s">
        <v>373</v>
      </c>
      <c r="BG37" s="9" t="s">
        <v>749</v>
      </c>
      <c r="BH37" s="9" t="s">
        <v>304</v>
      </c>
      <c r="BI37" s="9" t="s">
        <v>530</v>
      </c>
      <c r="BJ37" s="9" t="s">
        <v>531</v>
      </c>
      <c r="BK37" s="11">
        <v>856</v>
      </c>
      <c r="BL37" s="16">
        <v>192.96508</v>
      </c>
      <c r="BM37" s="10"/>
      <c r="BN37" s="10"/>
      <c r="BO37" s="10"/>
      <c r="BP37" s="16"/>
      <c r="BQ37" s="16"/>
      <c r="BR37" s="9"/>
      <c r="BS37" s="9"/>
      <c r="BT37" s="9"/>
      <c r="BU37" s="9"/>
      <c r="BV37" s="9"/>
      <c r="BW37" s="10"/>
      <c r="BX37" s="15" t="s">
        <v>761</v>
      </c>
      <c r="BY37" s="10"/>
      <c r="BZ37" s="10"/>
      <c r="CA37" s="10"/>
      <c r="CB37" t="b">
        <v>0</v>
      </c>
      <c r="CC37" s="9" t="s">
        <v>308</v>
      </c>
      <c r="CD37" s="9" t="s">
        <v>309</v>
      </c>
    </row>
    <row r="38" spans="1:82">
      <c r="A38" s="8">
        <v>81492</v>
      </c>
      <c r="B38" s="9" t="s">
        <v>762</v>
      </c>
      <c r="C38" s="9" t="s">
        <v>517</v>
      </c>
      <c r="D38" s="10">
        <v>45875</v>
      </c>
      <c r="E38" s="9" t="s">
        <v>763</v>
      </c>
      <c r="F38" s="9" t="s">
        <v>764</v>
      </c>
      <c r="G38" s="9" t="s">
        <v>765</v>
      </c>
      <c r="H38" s="9" t="s">
        <v>281</v>
      </c>
      <c r="I38" s="9" t="s">
        <v>282</v>
      </c>
      <c r="J38" s="9" t="s">
        <v>283</v>
      </c>
      <c r="K38" s="9" t="s">
        <v>284</v>
      </c>
      <c r="L38" s="9" t="s">
        <v>766</v>
      </c>
      <c r="M38" s="9" t="s">
        <v>767</v>
      </c>
      <c r="N38" s="8">
        <v>1</v>
      </c>
      <c r="O38" s="9" t="s">
        <v>768</v>
      </c>
      <c r="P38" s="11">
        <v>225.68</v>
      </c>
      <c r="Q38" s="11">
        <v>165</v>
      </c>
      <c r="R38" s="11">
        <v>165</v>
      </c>
      <c r="S38" s="11">
        <v>1136</v>
      </c>
      <c r="T38" s="11">
        <v>256372.48000000001</v>
      </c>
      <c r="U38" s="12">
        <v>5.3999999999999999E-2</v>
      </c>
      <c r="V38" s="12">
        <v>0.875</v>
      </c>
      <c r="W38" s="11">
        <v>1163.5</v>
      </c>
      <c r="X38" s="9" t="s">
        <v>288</v>
      </c>
      <c r="Y38" s="10">
        <v>45217</v>
      </c>
      <c r="Z38" s="13">
        <v>0.1246</v>
      </c>
      <c r="AB38" t="b">
        <v>0</v>
      </c>
      <c r="AC38" s="9" t="s">
        <v>289</v>
      </c>
      <c r="AD38" s="9" t="s">
        <v>290</v>
      </c>
      <c r="AE38" s="8">
        <v>991.06200000000001</v>
      </c>
      <c r="AF38" s="14">
        <v>47.44106</v>
      </c>
      <c r="AG38" s="14">
        <v>-1.2768200000000001</v>
      </c>
      <c r="AH38" s="9" t="s">
        <v>524</v>
      </c>
      <c r="AI38" s="15" t="s">
        <v>319</v>
      </c>
      <c r="AJ38" s="9" t="s">
        <v>293</v>
      </c>
      <c r="AK38" s="9" t="s">
        <v>769</v>
      </c>
      <c r="AL38" s="9" t="s">
        <v>770</v>
      </c>
      <c r="AM38" s="9"/>
      <c r="AN38" s="9" t="s">
        <v>771</v>
      </c>
      <c r="AO38" s="9" t="s">
        <v>772</v>
      </c>
      <c r="AP38" s="9" t="s">
        <v>144</v>
      </c>
      <c r="AQ38" s="9" t="s">
        <v>372</v>
      </c>
      <c r="AR38" t="b">
        <v>0</v>
      </c>
      <c r="AS38" s="10"/>
      <c r="AT38" s="10" t="s">
        <v>299</v>
      </c>
      <c r="AU38" s="9"/>
      <c r="AV38" t="b">
        <v>0</v>
      </c>
      <c r="AW38" s="12"/>
      <c r="AX38" s="11"/>
      <c r="AY38" s="9"/>
      <c r="AZ38" t="b">
        <v>0</v>
      </c>
      <c r="BA38" s="9"/>
      <c r="BB38" s="12"/>
      <c r="BC38" s="11"/>
      <c r="BD38" s="9" t="s">
        <v>325</v>
      </c>
      <c r="BE38" s="9" t="s">
        <v>47</v>
      </c>
      <c r="BF38" s="9" t="s">
        <v>402</v>
      </c>
      <c r="BG38" s="9" t="s">
        <v>529</v>
      </c>
      <c r="BH38" s="9" t="s">
        <v>304</v>
      </c>
      <c r="BI38" s="9" t="s">
        <v>530</v>
      </c>
      <c r="BJ38" s="9" t="s">
        <v>531</v>
      </c>
      <c r="BK38" s="11">
        <v>856</v>
      </c>
      <c r="BL38" s="16">
        <v>154.22456</v>
      </c>
      <c r="BM38" s="10"/>
      <c r="BN38" s="10"/>
      <c r="BO38" s="10"/>
      <c r="BP38" s="16"/>
      <c r="BQ38" s="16"/>
      <c r="BR38" s="9"/>
      <c r="BS38" s="9"/>
      <c r="BT38" s="9"/>
      <c r="BU38" s="9"/>
      <c r="BV38" s="9"/>
      <c r="BW38" s="10"/>
      <c r="BX38" s="15" t="s">
        <v>773</v>
      </c>
      <c r="BY38" s="10"/>
      <c r="BZ38" s="10"/>
      <c r="CA38" s="10"/>
      <c r="CB38" t="b">
        <v>0</v>
      </c>
      <c r="CC38" s="9" t="s">
        <v>308</v>
      </c>
      <c r="CD38" s="9" t="s">
        <v>309</v>
      </c>
    </row>
    <row r="39" spans="1:82">
      <c r="A39" s="8">
        <v>71369</v>
      </c>
      <c r="B39" s="9" t="s">
        <v>774</v>
      </c>
      <c r="C39" s="9" t="s">
        <v>628</v>
      </c>
      <c r="D39" s="10">
        <v>45874</v>
      </c>
      <c r="E39" s="9" t="s">
        <v>775</v>
      </c>
      <c r="F39" s="9" t="s">
        <v>776</v>
      </c>
      <c r="G39" s="9" t="s">
        <v>777</v>
      </c>
      <c r="H39" s="9" t="s">
        <v>281</v>
      </c>
      <c r="I39" s="9" t="s">
        <v>282</v>
      </c>
      <c r="J39" s="9" t="s">
        <v>283</v>
      </c>
      <c r="K39" s="9" t="s">
        <v>284</v>
      </c>
      <c r="L39" s="9" t="s">
        <v>778</v>
      </c>
      <c r="M39" s="9" t="s">
        <v>779</v>
      </c>
      <c r="N39" s="8">
        <v>1</v>
      </c>
      <c r="O39" s="9" t="s">
        <v>780</v>
      </c>
      <c r="P39" s="11">
        <v>263.89999999999998</v>
      </c>
      <c r="Q39" s="11">
        <v>220</v>
      </c>
      <c r="R39" s="11">
        <v>220</v>
      </c>
      <c r="S39" s="11">
        <v>1024</v>
      </c>
      <c r="T39" s="11">
        <v>270233.59999999998</v>
      </c>
      <c r="U39" s="12">
        <v>5.3999999999999999E-2</v>
      </c>
      <c r="V39" s="12">
        <v>0.76929999999999998</v>
      </c>
      <c r="W39" s="11">
        <v>1023.19</v>
      </c>
      <c r="X39" s="9" t="s">
        <v>288</v>
      </c>
      <c r="Y39" s="10">
        <v>45154</v>
      </c>
      <c r="Z39" s="13">
        <v>0.124</v>
      </c>
      <c r="AB39" t="b">
        <v>0</v>
      </c>
      <c r="AC39" s="9" t="s">
        <v>289</v>
      </c>
      <c r="AD39" s="9" t="s">
        <v>290</v>
      </c>
      <c r="AE39" s="8">
        <v>1158.903</v>
      </c>
      <c r="AF39" s="14">
        <v>45.087490000000003</v>
      </c>
      <c r="AG39" s="14">
        <v>2.20248</v>
      </c>
      <c r="AH39" s="9" t="s">
        <v>524</v>
      </c>
      <c r="AI39" s="15" t="s">
        <v>396</v>
      </c>
      <c r="AJ39" s="9" t="s">
        <v>293</v>
      </c>
      <c r="AK39" s="9" t="s">
        <v>781</v>
      </c>
      <c r="AL39" s="9" t="s">
        <v>782</v>
      </c>
      <c r="AM39" s="9"/>
      <c r="AN39" s="9" t="s">
        <v>783</v>
      </c>
      <c r="AO39" s="9"/>
      <c r="AP39" s="9" t="s">
        <v>323</v>
      </c>
      <c r="AQ39" s="9" t="s">
        <v>355</v>
      </c>
      <c r="AR39" t="b">
        <v>0</v>
      </c>
      <c r="AS39" s="10"/>
      <c r="AT39" s="10" t="s">
        <v>299</v>
      </c>
      <c r="AU39" s="9"/>
      <c r="AV39" t="b">
        <v>0</v>
      </c>
      <c r="AW39" s="12"/>
      <c r="AX39" s="11"/>
      <c r="AY39" s="9"/>
      <c r="AZ39" t="b">
        <v>0</v>
      </c>
      <c r="BA39" s="9"/>
      <c r="BB39" s="12"/>
      <c r="BC39" s="11"/>
      <c r="BD39" s="9" t="s">
        <v>300</v>
      </c>
      <c r="BE39" s="9" t="s">
        <v>47</v>
      </c>
      <c r="BF39" s="9" t="s">
        <v>702</v>
      </c>
      <c r="BG39" s="9" t="s">
        <v>327</v>
      </c>
      <c r="BH39" s="9" t="s">
        <v>304</v>
      </c>
      <c r="BI39" s="9" t="s">
        <v>638</v>
      </c>
      <c r="BJ39" s="9" t="s">
        <v>639</v>
      </c>
      <c r="BK39" s="11">
        <v>856</v>
      </c>
      <c r="BL39" s="16">
        <v>168.25129999999999</v>
      </c>
      <c r="BM39" s="10"/>
      <c r="BN39" s="10"/>
      <c r="BO39" s="10"/>
      <c r="BP39" s="16"/>
      <c r="BQ39" s="16"/>
      <c r="BR39" s="9"/>
      <c r="BS39" s="9"/>
      <c r="BT39" s="9"/>
      <c r="BU39" s="9"/>
      <c r="BV39" s="9"/>
      <c r="BW39" s="10"/>
      <c r="BX39" s="15" t="s">
        <v>784</v>
      </c>
      <c r="BY39" s="10"/>
      <c r="BZ39" s="10"/>
      <c r="CA39" s="10"/>
      <c r="CB39" t="b">
        <v>0</v>
      </c>
      <c r="CC39" s="9" t="s">
        <v>308</v>
      </c>
      <c r="CD39" s="9" t="s">
        <v>309</v>
      </c>
    </row>
    <row r="40" spans="1:82">
      <c r="A40" s="8">
        <v>3251</v>
      </c>
      <c r="B40" s="9" t="s">
        <v>173</v>
      </c>
      <c r="C40" s="9" t="s">
        <v>377</v>
      </c>
      <c r="D40" s="10">
        <v>45873</v>
      </c>
      <c r="E40" s="9" t="s">
        <v>785</v>
      </c>
      <c r="F40" s="9" t="s">
        <v>786</v>
      </c>
      <c r="G40" s="9" t="s">
        <v>787</v>
      </c>
      <c r="H40" s="9" t="s">
        <v>315</v>
      </c>
      <c r="I40" s="9" t="s">
        <v>282</v>
      </c>
      <c r="J40" s="9" t="s">
        <v>547</v>
      </c>
      <c r="K40" s="9" t="s">
        <v>284</v>
      </c>
      <c r="L40" s="9" t="s">
        <v>788</v>
      </c>
      <c r="M40" s="9" t="s">
        <v>789</v>
      </c>
      <c r="N40" s="8">
        <v>1</v>
      </c>
      <c r="O40" s="9" t="s">
        <v>790</v>
      </c>
      <c r="P40" s="11">
        <v>109.2</v>
      </c>
      <c r="Q40" s="11">
        <v>110</v>
      </c>
      <c r="R40" s="11">
        <v>99</v>
      </c>
      <c r="S40" s="11">
        <v>1196</v>
      </c>
      <c r="T40" s="11">
        <v>130603.2</v>
      </c>
      <c r="U40" s="12">
        <v>5.3999999999999999E-2</v>
      </c>
      <c r="V40" s="12">
        <v>0.8659</v>
      </c>
      <c r="W40" s="11">
        <v>1211.44</v>
      </c>
      <c r="X40" s="9" t="s">
        <v>288</v>
      </c>
      <c r="Y40" s="10">
        <v>45336</v>
      </c>
      <c r="Z40" s="13">
        <v>0.11509999999999999</v>
      </c>
      <c r="AB40" t="b">
        <v>0</v>
      </c>
      <c r="AC40" s="9" t="s">
        <v>289</v>
      </c>
      <c r="AD40" s="9" t="s">
        <v>290</v>
      </c>
      <c r="AE40" s="8">
        <v>479.54599999999999</v>
      </c>
      <c r="AF40" s="14">
        <v>44.815159999999999</v>
      </c>
      <c r="AG40" s="14">
        <v>4.7892200000000003</v>
      </c>
      <c r="AH40" s="9" t="s">
        <v>291</v>
      </c>
      <c r="AI40" s="15" t="s">
        <v>319</v>
      </c>
      <c r="AJ40" s="9" t="s">
        <v>293</v>
      </c>
      <c r="AK40" s="9" t="s">
        <v>791</v>
      </c>
      <c r="AL40" s="9" t="s">
        <v>792</v>
      </c>
      <c r="AM40" s="9"/>
      <c r="AN40" s="9" t="s">
        <v>793</v>
      </c>
      <c r="AO40" s="9"/>
      <c r="AP40" s="9" t="s">
        <v>108</v>
      </c>
      <c r="AQ40" s="9" t="s">
        <v>341</v>
      </c>
      <c r="AR40" t="b">
        <v>0</v>
      </c>
      <c r="AS40" s="10"/>
      <c r="AT40" s="10" t="s">
        <v>299</v>
      </c>
      <c r="AU40" s="9"/>
      <c r="AV40" t="b">
        <v>0</v>
      </c>
      <c r="AW40" s="12"/>
      <c r="AX40" s="11"/>
      <c r="AY40" s="9"/>
      <c r="AZ40" t="b">
        <v>0</v>
      </c>
      <c r="BA40" s="9"/>
      <c r="BB40" s="12"/>
      <c r="BC40" s="11"/>
      <c r="BD40" s="9" t="s">
        <v>300</v>
      </c>
      <c r="BE40" s="9" t="s">
        <v>301</v>
      </c>
      <c r="BF40" s="9" t="s">
        <v>690</v>
      </c>
      <c r="BG40" s="9" t="s">
        <v>489</v>
      </c>
      <c r="BH40" s="9" t="s">
        <v>304</v>
      </c>
      <c r="BI40" s="9" t="s">
        <v>386</v>
      </c>
      <c r="BJ40" s="9" t="s">
        <v>387</v>
      </c>
      <c r="BK40" s="11">
        <v>856</v>
      </c>
      <c r="BL40" s="16">
        <v>111.4764</v>
      </c>
      <c r="BM40" s="10"/>
      <c r="BN40" s="10"/>
      <c r="BO40" s="10"/>
      <c r="BP40" s="16"/>
      <c r="BQ40" s="16"/>
      <c r="BR40" s="9" t="s">
        <v>794</v>
      </c>
      <c r="BS40" s="9" t="s">
        <v>795</v>
      </c>
      <c r="BT40" s="9" t="s">
        <v>796</v>
      </c>
      <c r="BU40" s="9" t="s">
        <v>786</v>
      </c>
      <c r="BV40" s="9" t="s">
        <v>797</v>
      </c>
      <c r="BW40" s="10"/>
      <c r="BX40" s="15" t="s">
        <v>798</v>
      </c>
      <c r="BY40" s="10"/>
      <c r="BZ40" s="10"/>
      <c r="CA40" s="10"/>
      <c r="CB40" t="b">
        <v>0</v>
      </c>
      <c r="CC40" s="9" t="s">
        <v>308</v>
      </c>
      <c r="CD40" s="9" t="s">
        <v>309</v>
      </c>
    </row>
    <row r="41" spans="1:82">
      <c r="A41" s="8">
        <v>95524</v>
      </c>
      <c r="B41" s="9" t="s">
        <v>799</v>
      </c>
      <c r="C41" s="9" t="s">
        <v>277</v>
      </c>
      <c r="D41" s="10">
        <v>45869</v>
      </c>
      <c r="E41" s="9" t="s">
        <v>800</v>
      </c>
      <c r="F41" s="9" t="s">
        <v>801</v>
      </c>
      <c r="G41" s="9" t="s">
        <v>802</v>
      </c>
      <c r="H41" s="9" t="s">
        <v>281</v>
      </c>
      <c r="I41" s="9" t="s">
        <v>282</v>
      </c>
      <c r="J41" s="9" t="s">
        <v>283</v>
      </c>
      <c r="K41" s="9" t="s">
        <v>284</v>
      </c>
      <c r="L41" s="9" t="s">
        <v>803</v>
      </c>
      <c r="M41" s="9" t="s">
        <v>804</v>
      </c>
      <c r="N41" s="8">
        <v>1</v>
      </c>
      <c r="O41" s="9" t="s">
        <v>805</v>
      </c>
      <c r="P41" s="11">
        <v>309.39999999999998</v>
      </c>
      <c r="Q41" s="11">
        <v>250</v>
      </c>
      <c r="R41" s="11">
        <v>249.99</v>
      </c>
      <c r="S41" s="11">
        <v>1143</v>
      </c>
      <c r="T41" s="11">
        <v>353644.2</v>
      </c>
      <c r="U41" s="12">
        <v>5.3999999999999999E-2</v>
      </c>
      <c r="V41" s="12">
        <v>0.87519999999999998</v>
      </c>
      <c r="W41" s="11">
        <v>1156.01</v>
      </c>
      <c r="X41" s="9" t="s">
        <v>288</v>
      </c>
      <c r="Y41" s="10">
        <v>45057</v>
      </c>
      <c r="Z41" s="13">
        <v>0.12740000000000001</v>
      </c>
      <c r="AB41" t="b">
        <v>0</v>
      </c>
      <c r="AC41" s="9" t="s">
        <v>289</v>
      </c>
      <c r="AD41" s="9" t="s">
        <v>290</v>
      </c>
      <c r="AE41" s="8">
        <v>1358.713</v>
      </c>
      <c r="AF41" s="14">
        <v>47.767420000000001</v>
      </c>
      <c r="AG41" s="14">
        <v>-0.53195000000000003</v>
      </c>
      <c r="AH41" s="9" t="s">
        <v>291</v>
      </c>
      <c r="AI41" s="15" t="s">
        <v>396</v>
      </c>
      <c r="AJ41" s="9" t="s">
        <v>293</v>
      </c>
      <c r="AK41" s="9" t="s">
        <v>806</v>
      </c>
      <c r="AL41" s="9" t="s">
        <v>807</v>
      </c>
      <c r="AM41" s="9"/>
      <c r="AN41" s="9" t="s">
        <v>808</v>
      </c>
      <c r="AO41" s="9" t="s">
        <v>809</v>
      </c>
      <c r="AP41" s="9" t="s">
        <v>597</v>
      </c>
      <c r="AQ41" s="9" t="s">
        <v>372</v>
      </c>
      <c r="AR41" t="b">
        <v>0</v>
      </c>
      <c r="AS41" s="10"/>
      <c r="AT41" s="10" t="s">
        <v>299</v>
      </c>
      <c r="AU41" s="9"/>
      <c r="AV41" t="b">
        <v>0</v>
      </c>
      <c r="AW41" s="12"/>
      <c r="AX41" s="11"/>
      <c r="AY41" s="9"/>
      <c r="AZ41" t="b">
        <v>0</v>
      </c>
      <c r="BA41" s="9"/>
      <c r="BB41" s="12"/>
      <c r="BC41" s="11"/>
      <c r="BD41" s="9" t="s">
        <v>300</v>
      </c>
      <c r="BE41" s="9" t="s">
        <v>301</v>
      </c>
      <c r="BF41" s="9" t="s">
        <v>402</v>
      </c>
      <c r="BG41" s="9" t="s">
        <v>529</v>
      </c>
      <c r="BH41" s="9" t="s">
        <v>304</v>
      </c>
      <c r="BI41" s="9" t="s">
        <v>305</v>
      </c>
      <c r="BJ41" s="9" t="s">
        <v>306</v>
      </c>
      <c r="BK41" s="11">
        <v>856</v>
      </c>
      <c r="BL41" s="16">
        <v>184.94980000000001</v>
      </c>
      <c r="BM41" s="10"/>
      <c r="BN41" s="10"/>
      <c r="BO41" s="10"/>
      <c r="BP41" s="16"/>
      <c r="BQ41" s="16"/>
      <c r="BR41" s="9"/>
      <c r="BS41" s="9"/>
      <c r="BT41" s="9"/>
      <c r="BU41" s="9"/>
      <c r="BV41" s="9"/>
      <c r="BW41" s="10"/>
      <c r="BX41" s="15" t="s">
        <v>810</v>
      </c>
      <c r="BY41" s="10"/>
      <c r="BZ41" s="10"/>
      <c r="CA41" s="10"/>
      <c r="CB41" t="b">
        <v>0</v>
      </c>
      <c r="CC41" s="9" t="s">
        <v>308</v>
      </c>
      <c r="CD41" s="9" t="s">
        <v>309</v>
      </c>
    </row>
    <row r="42" spans="1:82">
      <c r="A42" s="8">
        <v>49553</v>
      </c>
      <c r="B42" s="9" t="s">
        <v>811</v>
      </c>
      <c r="C42" s="9" t="s">
        <v>628</v>
      </c>
      <c r="D42" s="10">
        <v>45869</v>
      </c>
      <c r="E42" s="9" t="s">
        <v>812</v>
      </c>
      <c r="F42" s="9" t="s">
        <v>813</v>
      </c>
      <c r="G42" s="9" t="s">
        <v>814</v>
      </c>
      <c r="H42" s="9" t="s">
        <v>281</v>
      </c>
      <c r="I42" s="9" t="s">
        <v>282</v>
      </c>
      <c r="J42" s="9" t="s">
        <v>283</v>
      </c>
      <c r="K42" s="9" t="s">
        <v>284</v>
      </c>
      <c r="L42" s="9" t="s">
        <v>815</v>
      </c>
      <c r="M42" s="9" t="s">
        <v>816</v>
      </c>
      <c r="N42" s="8">
        <v>1</v>
      </c>
      <c r="O42" s="9" t="s">
        <v>817</v>
      </c>
      <c r="P42" s="11">
        <v>189.73500000000001</v>
      </c>
      <c r="Q42" s="11">
        <v>220</v>
      </c>
      <c r="R42" s="11">
        <v>176</v>
      </c>
      <c r="S42" s="11">
        <v>1423</v>
      </c>
      <c r="T42" s="11">
        <v>269992.90500000003</v>
      </c>
      <c r="U42" s="12">
        <v>5.3999999999999999E-2</v>
      </c>
      <c r="V42" s="12">
        <v>0.85909999999999997</v>
      </c>
      <c r="W42" s="11">
        <v>1393.05</v>
      </c>
      <c r="X42" s="9" t="s">
        <v>288</v>
      </c>
      <c r="Y42" s="10">
        <v>45000</v>
      </c>
      <c r="Z42" s="13">
        <v>0.13120000000000001</v>
      </c>
      <c r="AB42" t="b">
        <v>0</v>
      </c>
      <c r="AC42" s="9" t="s">
        <v>289</v>
      </c>
      <c r="AD42" s="9" t="s">
        <v>290</v>
      </c>
      <c r="AE42" s="8">
        <v>833.21100000000001</v>
      </c>
      <c r="AF42" s="14">
        <v>43.667140000000003</v>
      </c>
      <c r="AG42" s="14">
        <v>4.78965</v>
      </c>
      <c r="AH42" s="9" t="s">
        <v>524</v>
      </c>
      <c r="AI42" s="15" t="s">
        <v>396</v>
      </c>
      <c r="AJ42" s="9" t="s">
        <v>293</v>
      </c>
      <c r="AK42" s="9" t="s">
        <v>818</v>
      </c>
      <c r="AL42" s="9" t="s">
        <v>819</v>
      </c>
      <c r="AM42" s="9"/>
      <c r="AN42" s="9" t="s">
        <v>820</v>
      </c>
      <c r="AO42" s="9" t="s">
        <v>821</v>
      </c>
      <c r="AP42" s="9" t="s">
        <v>108</v>
      </c>
      <c r="AQ42" s="9" t="s">
        <v>822</v>
      </c>
      <c r="AR42" t="b">
        <v>0</v>
      </c>
      <c r="AS42" s="10"/>
      <c r="AT42" s="10" t="s">
        <v>299</v>
      </c>
      <c r="AU42" s="9"/>
      <c r="AV42" t="b">
        <v>0</v>
      </c>
      <c r="AW42" s="12"/>
      <c r="AX42" s="11"/>
      <c r="AY42" s="9"/>
      <c r="AZ42" t="b">
        <v>0</v>
      </c>
      <c r="BA42" s="9"/>
      <c r="BB42" s="12"/>
      <c r="BC42" s="11"/>
      <c r="BD42" s="9" t="s">
        <v>300</v>
      </c>
      <c r="BE42" s="9" t="s">
        <v>47</v>
      </c>
      <c r="BF42" s="9" t="s">
        <v>356</v>
      </c>
      <c r="BG42" s="9" t="s">
        <v>489</v>
      </c>
      <c r="BH42" s="9" t="s">
        <v>304</v>
      </c>
      <c r="BI42" s="9" t="s">
        <v>638</v>
      </c>
      <c r="BJ42" s="9" t="s">
        <v>639</v>
      </c>
      <c r="BK42" s="11">
        <v>856</v>
      </c>
      <c r="BL42" s="16">
        <v>141.03274500000001</v>
      </c>
      <c r="BM42" s="10"/>
      <c r="BN42" s="10"/>
      <c r="BO42" s="10"/>
      <c r="BP42" s="16"/>
      <c r="BQ42" s="16"/>
      <c r="BR42" s="9"/>
      <c r="BS42" s="9"/>
      <c r="BT42" s="9"/>
      <c r="BU42" s="9"/>
      <c r="BV42" s="9"/>
      <c r="BW42" s="10"/>
      <c r="BX42" s="15" t="s">
        <v>823</v>
      </c>
      <c r="BY42" s="10"/>
      <c r="BZ42" s="10"/>
      <c r="CA42" s="10"/>
      <c r="CB42" t="b">
        <v>0</v>
      </c>
      <c r="CC42" s="9" t="s">
        <v>308</v>
      </c>
      <c r="CD42" s="9" t="s">
        <v>309</v>
      </c>
    </row>
    <row r="43" spans="1:82">
      <c r="A43" s="8">
        <v>61191</v>
      </c>
      <c r="B43" s="9" t="s">
        <v>824</v>
      </c>
      <c r="C43" s="9" t="s">
        <v>277</v>
      </c>
      <c r="D43" s="10">
        <v>45868</v>
      </c>
      <c r="E43" s="9" t="s">
        <v>825</v>
      </c>
      <c r="F43" s="9" t="s">
        <v>826</v>
      </c>
      <c r="G43" s="9" t="s">
        <v>827</v>
      </c>
      <c r="H43" s="9" t="s">
        <v>281</v>
      </c>
      <c r="I43" s="9" t="s">
        <v>282</v>
      </c>
      <c r="J43" s="9" t="s">
        <v>283</v>
      </c>
      <c r="K43" s="9" t="s">
        <v>284</v>
      </c>
      <c r="L43" s="9" t="s">
        <v>828</v>
      </c>
      <c r="M43" s="9" t="s">
        <v>829</v>
      </c>
      <c r="N43" s="8">
        <v>1</v>
      </c>
      <c r="O43" s="9" t="s">
        <v>830</v>
      </c>
      <c r="P43" s="11">
        <v>260.26</v>
      </c>
      <c r="Q43" s="11">
        <v>220</v>
      </c>
      <c r="R43" s="11">
        <v>220</v>
      </c>
      <c r="S43" s="11">
        <v>1112</v>
      </c>
      <c r="T43" s="11">
        <v>289409.12</v>
      </c>
      <c r="U43" s="12">
        <v>5.3999999999999999E-2</v>
      </c>
      <c r="V43" s="12">
        <v>0.87450000000000006</v>
      </c>
      <c r="W43" s="11">
        <v>1094.04</v>
      </c>
      <c r="X43" s="9" t="s">
        <v>288</v>
      </c>
      <c r="Y43" s="10">
        <v>45134</v>
      </c>
      <c r="Z43" s="13">
        <v>0.12740000000000001</v>
      </c>
      <c r="AB43" t="b">
        <v>0</v>
      </c>
      <c r="AC43" s="9" t="s">
        <v>289</v>
      </c>
      <c r="AD43" s="9" t="s">
        <v>290</v>
      </c>
      <c r="AE43" s="8">
        <v>1142.9179999999999</v>
      </c>
      <c r="AF43" s="14">
        <v>46.694240000000001</v>
      </c>
      <c r="AG43" s="14">
        <v>4.1036400000000004</v>
      </c>
      <c r="AH43" s="9" t="s">
        <v>291</v>
      </c>
      <c r="AI43" s="15" t="s">
        <v>396</v>
      </c>
      <c r="AJ43" s="9" t="s">
        <v>293</v>
      </c>
      <c r="AK43" s="9" t="s">
        <v>831</v>
      </c>
      <c r="AL43" s="9" t="s">
        <v>832</v>
      </c>
      <c r="AM43" s="9"/>
      <c r="AN43" s="9" t="s">
        <v>833</v>
      </c>
      <c r="AO43" s="9"/>
      <c r="AP43" s="9" t="s">
        <v>68</v>
      </c>
      <c r="AQ43" s="9" t="s">
        <v>834</v>
      </c>
      <c r="AR43" t="b">
        <v>0</v>
      </c>
      <c r="AS43" s="10"/>
      <c r="AT43" s="10" t="s">
        <v>299</v>
      </c>
      <c r="AU43" s="9"/>
      <c r="AV43" t="b">
        <v>0</v>
      </c>
      <c r="AW43" s="12"/>
      <c r="AX43" s="11"/>
      <c r="AY43" s="9"/>
      <c r="AZ43" t="b">
        <v>0</v>
      </c>
      <c r="BA43" s="9"/>
      <c r="BB43" s="12"/>
      <c r="BC43" s="11"/>
      <c r="BD43" s="9" t="s">
        <v>300</v>
      </c>
      <c r="BE43" s="9" t="s">
        <v>301</v>
      </c>
      <c r="BF43" s="9" t="s">
        <v>402</v>
      </c>
      <c r="BG43" s="9" t="s">
        <v>303</v>
      </c>
      <c r="BH43" s="9" t="s">
        <v>304</v>
      </c>
      <c r="BI43" s="9" t="s">
        <v>305</v>
      </c>
      <c r="BJ43" s="9" t="s">
        <v>306</v>
      </c>
      <c r="BK43" s="11">
        <v>856</v>
      </c>
      <c r="BL43" s="16">
        <v>166.91542000000001</v>
      </c>
      <c r="BM43" s="10"/>
      <c r="BN43" s="10"/>
      <c r="BO43" s="10"/>
      <c r="BP43" s="16"/>
      <c r="BQ43" s="16"/>
      <c r="BR43" s="9"/>
      <c r="BS43" s="9"/>
      <c r="BT43" s="9"/>
      <c r="BU43" s="9"/>
      <c r="BV43" s="9"/>
      <c r="BW43" s="10"/>
      <c r="BX43" s="15" t="s">
        <v>835</v>
      </c>
      <c r="BY43" s="10"/>
      <c r="BZ43" s="10"/>
      <c r="CA43" s="10"/>
      <c r="CB43" t="b">
        <v>0</v>
      </c>
      <c r="CC43" s="9" t="s">
        <v>308</v>
      </c>
      <c r="CD43" s="9" t="s">
        <v>309</v>
      </c>
    </row>
    <row r="44" spans="1:82">
      <c r="A44" s="8">
        <v>96576</v>
      </c>
      <c r="B44" s="9" t="s">
        <v>836</v>
      </c>
      <c r="C44" s="9" t="s">
        <v>377</v>
      </c>
      <c r="D44" s="10">
        <v>45867</v>
      </c>
      <c r="E44" s="9" t="s">
        <v>837</v>
      </c>
      <c r="F44" s="9" t="s">
        <v>838</v>
      </c>
      <c r="G44" s="9" t="s">
        <v>839</v>
      </c>
      <c r="H44" s="9" t="s">
        <v>281</v>
      </c>
      <c r="I44" s="9" t="s">
        <v>282</v>
      </c>
      <c r="J44" s="9" t="s">
        <v>283</v>
      </c>
      <c r="K44" s="9" t="s">
        <v>284</v>
      </c>
      <c r="L44" s="9" t="s">
        <v>840</v>
      </c>
      <c r="M44" s="9" t="s">
        <v>841</v>
      </c>
      <c r="N44" s="8">
        <v>1</v>
      </c>
      <c r="O44" s="9" t="s">
        <v>842</v>
      </c>
      <c r="P44" s="11">
        <v>277.09500000000003</v>
      </c>
      <c r="Q44" s="11">
        <v>250</v>
      </c>
      <c r="R44" s="11">
        <v>250</v>
      </c>
      <c r="S44" s="11">
        <v>1153</v>
      </c>
      <c r="T44" s="11">
        <v>319490.53499999997</v>
      </c>
      <c r="U44" s="12">
        <v>5.3999999999999999E-2</v>
      </c>
      <c r="V44" s="12">
        <v>0.88</v>
      </c>
      <c r="W44" s="11">
        <v>1151.98</v>
      </c>
      <c r="X44" s="9" t="s">
        <v>288</v>
      </c>
      <c r="Y44" s="10">
        <v>45061</v>
      </c>
      <c r="Z44" s="13">
        <v>0.12740000000000001</v>
      </c>
      <c r="AB44" t="b">
        <v>0</v>
      </c>
      <c r="AC44" s="9" t="s">
        <v>289</v>
      </c>
      <c r="AD44" s="9" t="s">
        <v>290</v>
      </c>
      <c r="AE44" s="8">
        <v>1216.848</v>
      </c>
      <c r="AF44" s="14">
        <v>48.464930000000003</v>
      </c>
      <c r="AG44" s="14">
        <v>0.30003000000000002</v>
      </c>
      <c r="AH44" s="9" t="s">
        <v>291</v>
      </c>
      <c r="AI44" s="15" t="s">
        <v>396</v>
      </c>
      <c r="AJ44" s="9" t="s">
        <v>293</v>
      </c>
      <c r="AK44" s="9" t="s">
        <v>843</v>
      </c>
      <c r="AL44" s="9" t="s">
        <v>844</v>
      </c>
      <c r="AM44" s="9"/>
      <c r="AN44" s="9" t="s">
        <v>845</v>
      </c>
      <c r="AO44" s="9" t="s">
        <v>846</v>
      </c>
      <c r="AP44" s="9" t="s">
        <v>43</v>
      </c>
      <c r="AQ44" s="9" t="s">
        <v>847</v>
      </c>
      <c r="AR44" t="b">
        <v>0</v>
      </c>
      <c r="AS44" s="10"/>
      <c r="AT44" s="10" t="s">
        <v>299</v>
      </c>
      <c r="AU44" s="9"/>
      <c r="AV44" t="b">
        <v>0</v>
      </c>
      <c r="AW44" s="12"/>
      <c r="AX44" s="11"/>
      <c r="AY44" s="9"/>
      <c r="AZ44" t="b">
        <v>0</v>
      </c>
      <c r="BA44" s="9"/>
      <c r="BB44" s="12"/>
      <c r="BC44" s="11"/>
      <c r="BD44" s="9" t="s">
        <v>300</v>
      </c>
      <c r="BE44" s="9" t="s">
        <v>301</v>
      </c>
      <c r="BF44" s="9" t="s">
        <v>402</v>
      </c>
      <c r="BG44" s="9" t="s">
        <v>529</v>
      </c>
      <c r="BH44" s="9" t="s">
        <v>304</v>
      </c>
      <c r="BI44" s="9" t="s">
        <v>386</v>
      </c>
      <c r="BJ44" s="9" t="s">
        <v>387</v>
      </c>
      <c r="BK44" s="11">
        <v>856</v>
      </c>
      <c r="BL44" s="16">
        <v>173.09386499999999</v>
      </c>
      <c r="BM44" s="10"/>
      <c r="BN44" s="10"/>
      <c r="BO44" s="10"/>
      <c r="BP44" s="16"/>
      <c r="BQ44" s="16"/>
      <c r="BR44" s="9"/>
      <c r="BS44" s="9"/>
      <c r="BT44" s="9"/>
      <c r="BU44" s="9"/>
      <c r="BV44" s="9"/>
      <c r="BW44" s="10"/>
      <c r="BX44" s="15" t="s">
        <v>848</v>
      </c>
      <c r="BY44" s="10"/>
      <c r="BZ44" s="10"/>
      <c r="CA44" s="10"/>
      <c r="CB44" t="b">
        <v>0</v>
      </c>
      <c r="CC44" s="9" t="s">
        <v>308</v>
      </c>
      <c r="CD44" s="9" t="s">
        <v>309</v>
      </c>
    </row>
    <row r="45" spans="1:82">
      <c r="A45" s="8">
        <v>49814</v>
      </c>
      <c r="B45" s="9" t="s">
        <v>169</v>
      </c>
      <c r="C45" s="9" t="s">
        <v>628</v>
      </c>
      <c r="D45" s="10">
        <v>45866</v>
      </c>
      <c r="E45" s="9" t="s">
        <v>849</v>
      </c>
      <c r="F45" s="9" t="s">
        <v>850</v>
      </c>
      <c r="G45" s="9" t="s">
        <v>851</v>
      </c>
      <c r="H45" s="9" t="s">
        <v>281</v>
      </c>
      <c r="I45" s="9" t="s">
        <v>282</v>
      </c>
      <c r="J45" s="9" t="s">
        <v>283</v>
      </c>
      <c r="K45" s="9" t="s">
        <v>284</v>
      </c>
      <c r="L45" s="9" t="s">
        <v>852</v>
      </c>
      <c r="M45" s="9" t="s">
        <v>853</v>
      </c>
      <c r="N45" s="8">
        <v>1</v>
      </c>
      <c r="O45" s="9" t="s">
        <v>854</v>
      </c>
      <c r="P45" s="11">
        <v>211.57499999999999</v>
      </c>
      <c r="Q45" s="11">
        <v>220</v>
      </c>
      <c r="R45" s="11">
        <v>170</v>
      </c>
      <c r="S45" s="11">
        <v>1183</v>
      </c>
      <c r="T45" s="11">
        <v>250293.22500000001</v>
      </c>
      <c r="U45" s="12">
        <v>5.3999999999999999E-2</v>
      </c>
      <c r="V45" s="12">
        <v>0.87819999999999998</v>
      </c>
      <c r="W45" s="11">
        <v>1165.6300000000001</v>
      </c>
      <c r="X45" s="9" t="s">
        <v>288</v>
      </c>
      <c r="Y45" s="10">
        <v>45042</v>
      </c>
      <c r="Z45" s="13">
        <v>0.13120000000000001</v>
      </c>
      <c r="AB45" t="b">
        <v>0</v>
      </c>
      <c r="AC45" s="9" t="s">
        <v>289</v>
      </c>
      <c r="AD45" s="9" t="s">
        <v>290</v>
      </c>
      <c r="AE45" s="8">
        <v>929.12</v>
      </c>
      <c r="AF45" s="14">
        <v>47.46443</v>
      </c>
      <c r="AG45" s="14">
        <v>-1.40235</v>
      </c>
      <c r="AH45" s="9" t="s">
        <v>524</v>
      </c>
      <c r="AI45" s="15" t="s">
        <v>855</v>
      </c>
      <c r="AJ45" s="9" t="s">
        <v>293</v>
      </c>
      <c r="AK45" s="9" t="s">
        <v>856</v>
      </c>
      <c r="AL45" s="9" t="s">
        <v>857</v>
      </c>
      <c r="AM45" s="9"/>
      <c r="AN45" s="9" t="s">
        <v>858</v>
      </c>
      <c r="AO45" s="9" t="s">
        <v>859</v>
      </c>
      <c r="AP45" s="9" t="s">
        <v>113</v>
      </c>
      <c r="AQ45" s="9" t="s">
        <v>298</v>
      </c>
      <c r="AR45" t="b">
        <v>0</v>
      </c>
      <c r="AS45" s="10"/>
      <c r="AT45" s="10" t="s">
        <v>299</v>
      </c>
      <c r="AU45" s="9"/>
      <c r="AV45" t="b">
        <v>0</v>
      </c>
      <c r="AW45" s="12"/>
      <c r="AX45" s="11"/>
      <c r="AY45" s="9"/>
      <c r="AZ45" t="b">
        <v>0</v>
      </c>
      <c r="BA45" s="9"/>
      <c r="BB45" s="12"/>
      <c r="BC45" s="11"/>
      <c r="BD45" s="9" t="s">
        <v>300</v>
      </c>
      <c r="BE45" s="9" t="s">
        <v>47</v>
      </c>
      <c r="BF45" s="9" t="s">
        <v>402</v>
      </c>
      <c r="BG45" s="9" t="s">
        <v>529</v>
      </c>
      <c r="BH45" s="9" t="s">
        <v>304</v>
      </c>
      <c r="BI45" s="9" t="s">
        <v>638</v>
      </c>
      <c r="BJ45" s="9" t="s">
        <v>639</v>
      </c>
      <c r="BK45" s="11">
        <v>856</v>
      </c>
      <c r="BL45" s="16">
        <v>149.048025</v>
      </c>
      <c r="BM45" s="10"/>
      <c r="BN45" s="10"/>
      <c r="BO45" s="10"/>
      <c r="BP45" s="16"/>
      <c r="BQ45" s="16"/>
      <c r="BR45" s="9" t="s">
        <v>856</v>
      </c>
      <c r="BS45" s="9" t="s">
        <v>860</v>
      </c>
      <c r="BT45" s="9" t="s">
        <v>851</v>
      </c>
      <c r="BU45" s="9" t="s">
        <v>850</v>
      </c>
      <c r="BV45" s="9"/>
      <c r="BW45" s="10"/>
      <c r="BX45" s="15" t="s">
        <v>307</v>
      </c>
      <c r="BY45" s="10"/>
      <c r="BZ45" s="10"/>
      <c r="CA45" s="10"/>
      <c r="CB45" t="b">
        <v>0</v>
      </c>
      <c r="CC45" s="9" t="s">
        <v>308</v>
      </c>
      <c r="CD45" s="9" t="s">
        <v>309</v>
      </c>
    </row>
    <row r="46" spans="1:82">
      <c r="A46" s="8">
        <v>95308</v>
      </c>
      <c r="B46" s="9" t="s">
        <v>861</v>
      </c>
      <c r="C46" s="9" t="s">
        <v>628</v>
      </c>
      <c r="D46" s="10">
        <v>45863</v>
      </c>
      <c r="E46" s="9" t="s">
        <v>862</v>
      </c>
      <c r="F46" s="9" t="s">
        <v>391</v>
      </c>
      <c r="G46" s="9" t="s">
        <v>863</v>
      </c>
      <c r="H46" s="9" t="s">
        <v>281</v>
      </c>
      <c r="I46" s="9" t="s">
        <v>282</v>
      </c>
      <c r="J46" s="9" t="s">
        <v>283</v>
      </c>
      <c r="K46" s="9" t="s">
        <v>284</v>
      </c>
      <c r="L46" s="9" t="s">
        <v>864</v>
      </c>
      <c r="M46" s="9" t="s">
        <v>865</v>
      </c>
      <c r="N46" s="8">
        <v>1</v>
      </c>
      <c r="O46" s="9" t="s">
        <v>866</v>
      </c>
      <c r="P46" s="11">
        <v>156.97499999999999</v>
      </c>
      <c r="Q46" s="11">
        <v>150</v>
      </c>
      <c r="R46" s="11">
        <v>173</v>
      </c>
      <c r="S46" s="11">
        <v>1039</v>
      </c>
      <c r="T46" s="11">
        <v>163097.02499999999</v>
      </c>
      <c r="U46" s="12">
        <v>5.3999999999999999E-2</v>
      </c>
      <c r="V46" s="12">
        <v>0.87019999999999997</v>
      </c>
      <c r="W46" s="11">
        <v>1062.3900000000001</v>
      </c>
      <c r="X46" s="9" t="s">
        <v>288</v>
      </c>
      <c r="Y46" s="10">
        <v>44810</v>
      </c>
      <c r="Z46" s="13">
        <v>0.12740000000000001</v>
      </c>
      <c r="AB46" t="b">
        <v>0</v>
      </c>
      <c r="AC46" s="9" t="s">
        <v>289</v>
      </c>
      <c r="AD46" s="9" t="s">
        <v>290</v>
      </c>
      <c r="AE46" s="8">
        <v>689.34699999999998</v>
      </c>
      <c r="AF46" s="14">
        <v>46.603839999999998</v>
      </c>
      <c r="AG46" s="14">
        <v>3.61714</v>
      </c>
      <c r="AH46" s="9" t="s">
        <v>524</v>
      </c>
      <c r="AI46" s="15" t="s">
        <v>855</v>
      </c>
      <c r="AJ46" s="9" t="s">
        <v>293</v>
      </c>
      <c r="AK46" s="9" t="s">
        <v>867</v>
      </c>
      <c r="AL46" s="9" t="s">
        <v>868</v>
      </c>
      <c r="AM46" s="9"/>
      <c r="AN46" s="9" t="s">
        <v>869</v>
      </c>
      <c r="AO46" s="9"/>
      <c r="AP46" s="9" t="s">
        <v>68</v>
      </c>
      <c r="AQ46" s="9" t="s">
        <v>68</v>
      </c>
      <c r="AR46" t="b">
        <v>0</v>
      </c>
      <c r="AS46" s="10"/>
      <c r="AT46" s="10" t="s">
        <v>299</v>
      </c>
      <c r="AU46" s="9"/>
      <c r="AV46" t="b">
        <v>0</v>
      </c>
      <c r="AW46" s="12"/>
      <c r="AX46" s="11"/>
      <c r="AY46" s="9"/>
      <c r="AZ46" t="b">
        <v>0</v>
      </c>
      <c r="BA46" s="9"/>
      <c r="BB46" s="12"/>
      <c r="BC46" s="11"/>
      <c r="BD46" s="9" t="s">
        <v>300</v>
      </c>
      <c r="BE46" s="9" t="s">
        <v>47</v>
      </c>
      <c r="BF46" s="9" t="s">
        <v>356</v>
      </c>
      <c r="BG46" s="9" t="s">
        <v>303</v>
      </c>
      <c r="BH46" s="9" t="s">
        <v>304</v>
      </c>
      <c r="BI46" s="9" t="s">
        <v>638</v>
      </c>
      <c r="BJ46" s="9" t="s">
        <v>639</v>
      </c>
      <c r="BK46" s="11">
        <v>856</v>
      </c>
      <c r="BL46" s="16">
        <v>129.00982500000001</v>
      </c>
      <c r="BM46" s="10"/>
      <c r="BN46" s="10"/>
      <c r="BO46" s="10"/>
      <c r="BP46" s="16"/>
      <c r="BQ46" s="16"/>
      <c r="BR46" s="9"/>
      <c r="BS46" s="9"/>
      <c r="BT46" s="9"/>
      <c r="BU46" s="9"/>
      <c r="BV46" s="9"/>
      <c r="BW46" s="10"/>
      <c r="BX46" s="15" t="s">
        <v>870</v>
      </c>
      <c r="BY46" s="10"/>
      <c r="BZ46" s="10"/>
      <c r="CA46" s="10"/>
      <c r="CB46" t="b">
        <v>0</v>
      </c>
      <c r="CC46" s="9" t="s">
        <v>308</v>
      </c>
      <c r="CD46" s="9" t="s">
        <v>309</v>
      </c>
    </row>
    <row r="47" spans="1:82">
      <c r="A47" s="8">
        <v>95309</v>
      </c>
      <c r="B47" s="9" t="s">
        <v>861</v>
      </c>
      <c r="C47" s="9" t="s">
        <v>628</v>
      </c>
      <c r="D47" s="10">
        <v>45863</v>
      </c>
      <c r="E47" s="9" t="s">
        <v>862</v>
      </c>
      <c r="F47" s="9" t="s">
        <v>391</v>
      </c>
      <c r="G47" s="9" t="s">
        <v>863</v>
      </c>
      <c r="H47" s="9" t="s">
        <v>315</v>
      </c>
      <c r="I47" s="9" t="s">
        <v>282</v>
      </c>
      <c r="J47" s="9" t="s">
        <v>283</v>
      </c>
      <c r="K47" s="9" t="s">
        <v>284</v>
      </c>
      <c r="L47" s="9" t="s">
        <v>871</v>
      </c>
      <c r="M47" s="9" t="s">
        <v>872</v>
      </c>
      <c r="N47" s="8">
        <v>1</v>
      </c>
      <c r="O47" s="9" t="s">
        <v>873</v>
      </c>
      <c r="P47" s="11">
        <v>324.87</v>
      </c>
      <c r="Q47" s="11">
        <v>250</v>
      </c>
      <c r="R47" s="11">
        <v>249.9</v>
      </c>
      <c r="S47" s="11">
        <v>1200</v>
      </c>
      <c r="T47" s="11">
        <v>389844</v>
      </c>
      <c r="U47" s="12">
        <v>5.3999999999999999E-2</v>
      </c>
      <c r="V47" s="12">
        <v>0.86240000000000006</v>
      </c>
      <c r="W47" s="11">
        <v>1180.46</v>
      </c>
      <c r="X47" s="9" t="s">
        <v>288</v>
      </c>
      <c r="Y47" s="10">
        <v>44838</v>
      </c>
      <c r="Z47" s="13">
        <v>0.12740000000000001</v>
      </c>
      <c r="AB47" t="b">
        <v>0</v>
      </c>
      <c r="AC47" s="9" t="s">
        <v>289</v>
      </c>
      <c r="AD47" s="9" t="s">
        <v>290</v>
      </c>
      <c r="AE47" s="8">
        <v>1426.6489999999999</v>
      </c>
      <c r="AF47" s="14">
        <v>46.604460000000003</v>
      </c>
      <c r="AG47" s="14">
        <v>3.6190699999999998</v>
      </c>
      <c r="AH47" s="9" t="s">
        <v>524</v>
      </c>
      <c r="AI47" s="15" t="s">
        <v>855</v>
      </c>
      <c r="AJ47" s="9" t="s">
        <v>293</v>
      </c>
      <c r="AK47" s="9" t="s">
        <v>867</v>
      </c>
      <c r="AL47" s="9" t="s">
        <v>868</v>
      </c>
      <c r="AM47" s="9"/>
      <c r="AN47" s="9" t="s">
        <v>869</v>
      </c>
      <c r="AO47" s="9"/>
      <c r="AP47" s="9" t="s">
        <v>68</v>
      </c>
      <c r="AQ47" s="9" t="s">
        <v>298</v>
      </c>
      <c r="AR47" t="b">
        <v>0</v>
      </c>
      <c r="AS47" s="10"/>
      <c r="AT47" s="10" t="s">
        <v>299</v>
      </c>
      <c r="AU47" s="9"/>
      <c r="AV47" t="b">
        <v>0</v>
      </c>
      <c r="AW47" s="12"/>
      <c r="AX47" s="11"/>
      <c r="AY47" s="9"/>
      <c r="AZ47" t="b">
        <v>0</v>
      </c>
      <c r="BA47" s="9"/>
      <c r="BB47" s="12"/>
      <c r="BC47" s="11"/>
      <c r="BD47" s="9" t="s">
        <v>300</v>
      </c>
      <c r="BE47" s="9" t="s">
        <v>47</v>
      </c>
      <c r="BF47" s="9" t="s">
        <v>356</v>
      </c>
      <c r="BG47" s="9" t="s">
        <v>303</v>
      </c>
      <c r="BH47" s="9" t="s">
        <v>304</v>
      </c>
      <c r="BI47" s="9" t="s">
        <v>638</v>
      </c>
      <c r="BJ47" s="9" t="s">
        <v>639</v>
      </c>
      <c r="BK47" s="11">
        <v>856</v>
      </c>
      <c r="BL47" s="16">
        <v>190.62728999999999</v>
      </c>
      <c r="BM47" s="10"/>
      <c r="BN47" s="10"/>
      <c r="BO47" s="10"/>
      <c r="BP47" s="16"/>
      <c r="BQ47" s="16"/>
      <c r="BR47" s="9"/>
      <c r="BS47" s="9"/>
      <c r="BT47" s="9"/>
      <c r="BU47" s="9"/>
      <c r="BV47" s="9"/>
      <c r="BW47" s="10"/>
      <c r="BX47" s="15" t="s">
        <v>492</v>
      </c>
      <c r="BY47" s="10"/>
      <c r="BZ47" s="10"/>
      <c r="CA47" s="10"/>
      <c r="CB47" t="b">
        <v>0</v>
      </c>
      <c r="CC47" s="9" t="s">
        <v>308</v>
      </c>
      <c r="CD47" s="9" t="s">
        <v>309</v>
      </c>
    </row>
    <row r="48" spans="1:82">
      <c r="A48" s="8">
        <v>32074</v>
      </c>
      <c r="B48" s="9" t="s">
        <v>874</v>
      </c>
      <c r="C48" s="9" t="s">
        <v>277</v>
      </c>
      <c r="D48" s="10">
        <v>45862</v>
      </c>
      <c r="E48" s="9" t="s">
        <v>875</v>
      </c>
      <c r="F48" s="9" t="s">
        <v>876</v>
      </c>
      <c r="G48" s="9" t="s">
        <v>877</v>
      </c>
      <c r="H48" s="9" t="s">
        <v>281</v>
      </c>
      <c r="I48" s="9" t="s">
        <v>282</v>
      </c>
      <c r="J48" s="9" t="s">
        <v>283</v>
      </c>
      <c r="K48" s="9" t="s">
        <v>284</v>
      </c>
      <c r="L48" s="9" t="s">
        <v>878</v>
      </c>
      <c r="M48" s="9" t="s">
        <v>879</v>
      </c>
      <c r="N48" s="8">
        <v>1</v>
      </c>
      <c r="O48" s="9" t="s">
        <v>880</v>
      </c>
      <c r="P48" s="11">
        <v>499.59</v>
      </c>
      <c r="Q48" s="11">
        <v>440</v>
      </c>
      <c r="R48" s="11">
        <v>392</v>
      </c>
      <c r="S48" s="11">
        <v>1257.1320000000001</v>
      </c>
      <c r="T48" s="11">
        <v>628050.57588000002</v>
      </c>
      <c r="U48" s="12">
        <v>5.3999999999999999E-2</v>
      </c>
      <c r="V48" s="12">
        <v>0.86619999999999997</v>
      </c>
      <c r="W48" s="11">
        <v>1232.6400000000001</v>
      </c>
      <c r="X48" s="9" t="s">
        <v>288</v>
      </c>
      <c r="Y48" s="10">
        <v>45127</v>
      </c>
      <c r="Z48" s="13">
        <v>0.12740000000000001</v>
      </c>
      <c r="AB48" t="b">
        <v>0</v>
      </c>
      <c r="AC48" s="9" t="s">
        <v>289</v>
      </c>
      <c r="AD48" s="9" t="s">
        <v>290</v>
      </c>
      <c r="AE48" s="8">
        <v>2193.922</v>
      </c>
      <c r="AF48" s="14">
        <v>44.841589999999997</v>
      </c>
      <c r="AG48" s="14">
        <v>4.9611799999999997</v>
      </c>
      <c r="AH48" s="9" t="s">
        <v>291</v>
      </c>
      <c r="AI48" s="15" t="s">
        <v>396</v>
      </c>
      <c r="AJ48" s="9" t="s">
        <v>293</v>
      </c>
      <c r="AK48" s="9" t="s">
        <v>881</v>
      </c>
      <c r="AL48" s="9" t="s">
        <v>882</v>
      </c>
      <c r="AM48" s="9"/>
      <c r="AN48" s="9" t="s">
        <v>883</v>
      </c>
      <c r="AO48" s="9"/>
      <c r="AP48" s="9" t="s">
        <v>139</v>
      </c>
      <c r="AQ48" s="9" t="s">
        <v>822</v>
      </c>
      <c r="AR48" t="b">
        <v>0</v>
      </c>
      <c r="AS48" s="10"/>
      <c r="AT48" s="10" t="s">
        <v>299</v>
      </c>
      <c r="AU48" s="9"/>
      <c r="AV48" t="b">
        <v>0</v>
      </c>
      <c r="AW48" s="12"/>
      <c r="AX48" s="11"/>
      <c r="AY48" s="9"/>
      <c r="AZ48" t="b">
        <v>0</v>
      </c>
      <c r="BA48" s="9"/>
      <c r="BB48" s="12"/>
      <c r="BC48" s="11"/>
      <c r="BD48" s="9" t="s">
        <v>300</v>
      </c>
      <c r="BE48" s="9" t="s">
        <v>301</v>
      </c>
      <c r="BF48" s="9" t="s">
        <v>690</v>
      </c>
      <c r="BG48" s="9" t="s">
        <v>489</v>
      </c>
      <c r="BH48" s="9" t="s">
        <v>304</v>
      </c>
      <c r="BI48" s="9" t="s">
        <v>305</v>
      </c>
      <c r="BJ48" s="9" t="s">
        <v>306</v>
      </c>
      <c r="BK48" s="11">
        <v>856</v>
      </c>
      <c r="BL48" s="16">
        <v>254.74952999999999</v>
      </c>
      <c r="BM48" s="10"/>
      <c r="BN48" s="10"/>
      <c r="BO48" s="10"/>
      <c r="BP48" s="16"/>
      <c r="BQ48" s="16"/>
      <c r="BR48" s="9"/>
      <c r="BS48" s="9"/>
      <c r="BT48" s="9"/>
      <c r="BU48" s="9"/>
      <c r="BV48" s="9"/>
      <c r="BW48" s="10"/>
      <c r="BX48" s="15" t="s">
        <v>884</v>
      </c>
      <c r="BY48" s="10"/>
      <c r="BZ48" s="10"/>
      <c r="CA48" s="10"/>
      <c r="CB48" t="b">
        <v>0</v>
      </c>
      <c r="CC48" s="9" t="s">
        <v>308</v>
      </c>
      <c r="CD48" s="9" t="s">
        <v>309</v>
      </c>
    </row>
    <row r="49" spans="1:82">
      <c r="A49" s="8">
        <v>96147</v>
      </c>
      <c r="B49" s="9" t="s">
        <v>885</v>
      </c>
      <c r="C49" s="9" t="s">
        <v>377</v>
      </c>
      <c r="D49" s="10">
        <v>45859</v>
      </c>
      <c r="E49" s="9" t="s">
        <v>886</v>
      </c>
      <c r="F49" s="9" t="s">
        <v>887</v>
      </c>
      <c r="G49" s="9" t="s">
        <v>888</v>
      </c>
      <c r="H49" s="9" t="s">
        <v>281</v>
      </c>
      <c r="I49" s="9" t="s">
        <v>282</v>
      </c>
      <c r="J49" s="9" t="s">
        <v>547</v>
      </c>
      <c r="K49" s="9" t="s">
        <v>284</v>
      </c>
      <c r="L49" s="9" t="s">
        <v>889</v>
      </c>
      <c r="M49" s="9" t="s">
        <v>890</v>
      </c>
      <c r="N49" s="8">
        <v>2</v>
      </c>
      <c r="O49" s="9" t="s">
        <v>891</v>
      </c>
      <c r="P49" s="11">
        <v>388.04</v>
      </c>
      <c r="Q49" s="11">
        <v>500</v>
      </c>
      <c r="R49" s="11">
        <v>368</v>
      </c>
      <c r="S49" s="11">
        <v>1268</v>
      </c>
      <c r="T49" s="11">
        <v>492034.72</v>
      </c>
      <c r="U49" s="12">
        <v>5.3999999999999999E-2</v>
      </c>
      <c r="V49" s="12">
        <v>0.86839999999999995</v>
      </c>
      <c r="W49" s="11">
        <v>1259.19</v>
      </c>
      <c r="X49" s="9" t="s">
        <v>288</v>
      </c>
      <c r="Y49" s="10">
        <v>45328</v>
      </c>
      <c r="Z49" s="13">
        <v>0.11509999999999999</v>
      </c>
      <c r="AB49" t="b">
        <v>0</v>
      </c>
      <c r="AC49" s="9" t="s">
        <v>289</v>
      </c>
      <c r="AD49" s="9" t="s">
        <v>290</v>
      </c>
      <c r="AE49" s="8">
        <v>1742.35</v>
      </c>
      <c r="AF49" s="14">
        <v>44.892249999999997</v>
      </c>
      <c r="AG49" s="14">
        <v>4.8749200000000004</v>
      </c>
      <c r="AH49" s="9" t="s">
        <v>291</v>
      </c>
      <c r="AI49" s="15" t="s">
        <v>396</v>
      </c>
      <c r="AJ49" s="9" t="s">
        <v>293</v>
      </c>
      <c r="AK49" s="9" t="s">
        <v>892</v>
      </c>
      <c r="AL49" s="9" t="s">
        <v>893</v>
      </c>
      <c r="AM49" s="9"/>
      <c r="AN49" s="9" t="s">
        <v>894</v>
      </c>
      <c r="AO49" s="9"/>
      <c r="AP49" s="9" t="s">
        <v>108</v>
      </c>
      <c r="AQ49" s="9" t="s">
        <v>355</v>
      </c>
      <c r="AR49" t="b">
        <v>0</v>
      </c>
      <c r="AS49" s="10"/>
      <c r="AT49" s="10" t="s">
        <v>299</v>
      </c>
      <c r="AU49" s="9"/>
      <c r="AV49" t="b">
        <v>0</v>
      </c>
      <c r="AW49" s="12"/>
      <c r="AX49" s="11"/>
      <c r="AY49" s="9"/>
      <c r="AZ49" t="b">
        <v>0</v>
      </c>
      <c r="BA49" s="9"/>
      <c r="BB49" s="12"/>
      <c r="BC49" s="11"/>
      <c r="BD49" s="9" t="s">
        <v>300</v>
      </c>
      <c r="BE49" s="9" t="s">
        <v>301</v>
      </c>
      <c r="BF49" s="9" t="s">
        <v>690</v>
      </c>
      <c r="BG49" s="9" t="s">
        <v>489</v>
      </c>
      <c r="BH49" s="9" t="s">
        <v>304</v>
      </c>
      <c r="BI49" s="9" t="s">
        <v>386</v>
      </c>
      <c r="BJ49" s="9" t="s">
        <v>387</v>
      </c>
      <c r="BK49" s="11">
        <v>856</v>
      </c>
      <c r="BL49" s="16">
        <v>213.81067999999999</v>
      </c>
      <c r="BM49" s="10"/>
      <c r="BN49" s="10"/>
      <c r="BO49" s="10"/>
      <c r="BP49" s="16"/>
      <c r="BQ49" s="16"/>
      <c r="BR49" s="9"/>
      <c r="BS49" s="9"/>
      <c r="BT49" s="9"/>
      <c r="BU49" s="9"/>
      <c r="BV49" s="9"/>
      <c r="BW49" s="10"/>
      <c r="BX49" s="15" t="s">
        <v>895</v>
      </c>
      <c r="BY49" s="10"/>
      <c r="BZ49" s="10"/>
      <c r="CA49" s="10"/>
      <c r="CB49" t="b">
        <v>0</v>
      </c>
      <c r="CC49" s="9" t="s">
        <v>308</v>
      </c>
      <c r="CD49" s="9" t="s">
        <v>309</v>
      </c>
    </row>
    <row r="50" spans="1:82">
      <c r="A50" s="8">
        <v>82721</v>
      </c>
      <c r="B50" s="9" t="s">
        <v>896</v>
      </c>
      <c r="C50" s="9" t="s">
        <v>377</v>
      </c>
      <c r="D50" s="10">
        <v>45856</v>
      </c>
      <c r="E50" s="9" t="s">
        <v>897</v>
      </c>
      <c r="F50" s="9" t="s">
        <v>898</v>
      </c>
      <c r="G50" s="9" t="s">
        <v>899</v>
      </c>
      <c r="H50" s="9" t="s">
        <v>281</v>
      </c>
      <c r="I50" s="9" t="s">
        <v>282</v>
      </c>
      <c r="J50" s="9" t="s">
        <v>283</v>
      </c>
      <c r="K50" s="9" t="s">
        <v>284</v>
      </c>
      <c r="L50" s="9" t="s">
        <v>900</v>
      </c>
      <c r="M50" s="9" t="s">
        <v>901</v>
      </c>
      <c r="N50" s="8">
        <v>2</v>
      </c>
      <c r="O50" s="9" t="s">
        <v>902</v>
      </c>
      <c r="P50" s="11">
        <v>499.59</v>
      </c>
      <c r="Q50" s="11">
        <v>417</v>
      </c>
      <c r="R50" s="11">
        <v>417</v>
      </c>
      <c r="S50" s="11">
        <v>1106</v>
      </c>
      <c r="T50" s="11">
        <v>552546.54</v>
      </c>
      <c r="U50" s="12">
        <v>5.3999999999999999E-2</v>
      </c>
      <c r="V50" s="12">
        <v>0.87690000000000001</v>
      </c>
      <c r="W50" s="11">
        <v>1102.5899999999999</v>
      </c>
      <c r="X50" s="9" t="s">
        <v>288</v>
      </c>
      <c r="Y50" s="10">
        <v>45132</v>
      </c>
      <c r="Z50" s="13">
        <v>0.12740000000000001</v>
      </c>
      <c r="AB50" t="b">
        <v>0</v>
      </c>
      <c r="AC50" s="9" t="s">
        <v>289</v>
      </c>
      <c r="AD50" s="9" t="s">
        <v>290</v>
      </c>
      <c r="AE50" s="8">
        <v>2193.922</v>
      </c>
      <c r="AF50" s="14">
        <v>47.354999999999997</v>
      </c>
      <c r="AG50" s="14">
        <v>-1.83701</v>
      </c>
      <c r="AH50" s="9" t="s">
        <v>291</v>
      </c>
      <c r="AI50" s="15" t="s">
        <v>903</v>
      </c>
      <c r="AJ50" s="9" t="s">
        <v>293</v>
      </c>
      <c r="AK50" s="9" t="s">
        <v>904</v>
      </c>
      <c r="AL50" s="9" t="s">
        <v>905</v>
      </c>
      <c r="AM50" s="9"/>
      <c r="AN50" s="9" t="s">
        <v>906</v>
      </c>
      <c r="AO50" s="9"/>
      <c r="AP50" s="9" t="s">
        <v>113</v>
      </c>
      <c r="AQ50" s="9" t="s">
        <v>834</v>
      </c>
      <c r="AR50" t="b">
        <v>0</v>
      </c>
      <c r="AS50" s="10"/>
      <c r="AT50" s="10" t="s">
        <v>299</v>
      </c>
      <c r="AU50" s="9"/>
      <c r="AV50" t="b">
        <v>0</v>
      </c>
      <c r="AW50" s="12"/>
      <c r="AX50" s="11"/>
      <c r="AY50" s="9"/>
      <c r="AZ50" t="b">
        <v>0</v>
      </c>
      <c r="BA50" s="9"/>
      <c r="BB50" s="12"/>
      <c r="BC50" s="11"/>
      <c r="BD50" s="9" t="s">
        <v>325</v>
      </c>
      <c r="BE50" s="9" t="s">
        <v>301</v>
      </c>
      <c r="BF50" s="9" t="s">
        <v>402</v>
      </c>
      <c r="BG50" s="9" t="s">
        <v>529</v>
      </c>
      <c r="BH50" s="9" t="s">
        <v>304</v>
      </c>
      <c r="BI50" s="9" t="s">
        <v>386</v>
      </c>
      <c r="BJ50" s="9" t="s">
        <v>387</v>
      </c>
      <c r="BK50" s="11">
        <v>856</v>
      </c>
      <c r="BL50" s="16">
        <v>254.74952999999999</v>
      </c>
      <c r="BM50" s="10">
        <v>45856</v>
      </c>
      <c r="BN50" s="10"/>
      <c r="BO50" s="10"/>
      <c r="BP50" s="16"/>
      <c r="BQ50" s="16"/>
      <c r="BR50" s="9"/>
      <c r="BS50" s="9"/>
      <c r="BT50" s="9"/>
      <c r="BU50" s="9"/>
      <c r="BV50" s="9"/>
      <c r="BW50" s="10"/>
      <c r="BX50" s="15" t="s">
        <v>907</v>
      </c>
      <c r="BY50" s="10"/>
      <c r="BZ50" s="10"/>
      <c r="CA50" s="10"/>
      <c r="CB50" t="b">
        <v>0</v>
      </c>
      <c r="CC50" s="9" t="s">
        <v>308</v>
      </c>
      <c r="CD50" s="9" t="s">
        <v>309</v>
      </c>
    </row>
    <row r="51" spans="1:82">
      <c r="A51" s="8">
        <v>30516</v>
      </c>
      <c r="B51" s="9" t="s">
        <v>908</v>
      </c>
      <c r="C51" s="9" t="s">
        <v>277</v>
      </c>
      <c r="D51" s="10">
        <v>45854</v>
      </c>
      <c r="E51" s="9" t="s">
        <v>909</v>
      </c>
      <c r="F51" s="9" t="s">
        <v>910</v>
      </c>
      <c r="G51" s="9" t="s">
        <v>911</v>
      </c>
      <c r="H51" s="9" t="s">
        <v>281</v>
      </c>
      <c r="I51" s="9" t="s">
        <v>282</v>
      </c>
      <c r="J51" s="9" t="s">
        <v>283</v>
      </c>
      <c r="K51" s="9" t="s">
        <v>284</v>
      </c>
      <c r="L51" s="9" t="s">
        <v>912</v>
      </c>
      <c r="M51" s="9" t="s">
        <v>913</v>
      </c>
      <c r="N51" s="8">
        <v>1</v>
      </c>
      <c r="O51" s="9" t="s">
        <v>914</v>
      </c>
      <c r="P51" s="11">
        <v>343.07</v>
      </c>
      <c r="Q51" s="11">
        <v>250</v>
      </c>
      <c r="R51" s="11">
        <v>249.9</v>
      </c>
      <c r="S51" s="11">
        <v>1129</v>
      </c>
      <c r="T51" s="11">
        <v>387326.03</v>
      </c>
      <c r="U51" s="12">
        <v>5.3999999999999999E-2</v>
      </c>
      <c r="V51" s="12">
        <v>0.87749999999999995</v>
      </c>
      <c r="W51" s="11">
        <v>1152.6300000000001</v>
      </c>
      <c r="X51" s="9" t="s">
        <v>288</v>
      </c>
      <c r="Y51" s="10">
        <v>45118</v>
      </c>
      <c r="Z51" s="13">
        <v>0.12740000000000001</v>
      </c>
      <c r="AB51" t="b">
        <v>0</v>
      </c>
      <c r="AC51" s="9" t="s">
        <v>289</v>
      </c>
      <c r="AD51" s="9" t="s">
        <v>290</v>
      </c>
      <c r="AE51" s="8">
        <v>1506.5730000000001</v>
      </c>
      <c r="AF51" s="14">
        <v>45.732469999999999</v>
      </c>
      <c r="AG51" s="14">
        <v>4.2053000000000003</v>
      </c>
      <c r="AH51" s="9" t="s">
        <v>291</v>
      </c>
      <c r="AI51" s="15" t="s">
        <v>396</v>
      </c>
      <c r="AJ51" s="9" t="s">
        <v>293</v>
      </c>
      <c r="AK51" s="9" t="s">
        <v>915</v>
      </c>
      <c r="AL51" s="9" t="s">
        <v>916</v>
      </c>
      <c r="AM51" s="9"/>
      <c r="AN51" s="9" t="s">
        <v>917</v>
      </c>
      <c r="AO51" s="9" t="s">
        <v>918</v>
      </c>
      <c r="AP51" s="9" t="s">
        <v>68</v>
      </c>
      <c r="AQ51" s="9" t="s">
        <v>355</v>
      </c>
      <c r="AR51" t="b">
        <v>0</v>
      </c>
      <c r="AS51" s="10"/>
      <c r="AT51" s="10" t="s">
        <v>299</v>
      </c>
      <c r="AU51" s="9"/>
      <c r="AV51" t="b">
        <v>0</v>
      </c>
      <c r="AW51" s="12"/>
      <c r="AX51" s="11"/>
      <c r="AY51" s="9"/>
      <c r="AZ51" t="b">
        <v>0</v>
      </c>
      <c r="BA51" s="9"/>
      <c r="BB51" s="12"/>
      <c r="BC51" s="11"/>
      <c r="BD51" s="9" t="s">
        <v>300</v>
      </c>
      <c r="BE51" s="9" t="s">
        <v>301</v>
      </c>
      <c r="BF51" s="9" t="s">
        <v>402</v>
      </c>
      <c r="BG51" s="9" t="s">
        <v>327</v>
      </c>
      <c r="BH51" s="9" t="s">
        <v>304</v>
      </c>
      <c r="BI51" s="9" t="s">
        <v>305</v>
      </c>
      <c r="BJ51" s="9" t="s">
        <v>306</v>
      </c>
      <c r="BK51" s="11">
        <v>856</v>
      </c>
      <c r="BL51" s="16">
        <v>197.30669</v>
      </c>
      <c r="BM51" s="10"/>
      <c r="BN51" s="10"/>
      <c r="BO51" s="10"/>
      <c r="BP51" s="16"/>
      <c r="BQ51" s="16"/>
      <c r="BR51" s="9"/>
      <c r="BS51" s="9"/>
      <c r="BT51" s="9"/>
      <c r="BU51" s="9"/>
      <c r="BV51" s="9"/>
      <c r="BW51" s="10"/>
      <c r="BX51" s="15" t="s">
        <v>515</v>
      </c>
      <c r="BY51" s="10"/>
      <c r="BZ51" s="10"/>
      <c r="CA51" s="10"/>
      <c r="CB51" t="b">
        <v>0</v>
      </c>
      <c r="CC51" s="9" t="s">
        <v>308</v>
      </c>
      <c r="CD51" s="9" t="s">
        <v>309</v>
      </c>
    </row>
    <row r="52" spans="1:82">
      <c r="A52" s="8">
        <v>59512</v>
      </c>
      <c r="B52" s="9" t="s">
        <v>919</v>
      </c>
      <c r="C52" s="9" t="s">
        <v>311</v>
      </c>
      <c r="D52" s="10">
        <v>45854</v>
      </c>
      <c r="E52" s="9" t="s">
        <v>920</v>
      </c>
      <c r="F52" s="9" t="s">
        <v>921</v>
      </c>
      <c r="G52" s="9" t="s">
        <v>922</v>
      </c>
      <c r="H52" s="9" t="s">
        <v>281</v>
      </c>
      <c r="I52" s="9" t="s">
        <v>282</v>
      </c>
      <c r="J52" s="9" t="s">
        <v>283</v>
      </c>
      <c r="K52" s="9" t="s">
        <v>284</v>
      </c>
      <c r="L52" s="9" t="s">
        <v>923</v>
      </c>
      <c r="M52" s="9" t="s">
        <v>924</v>
      </c>
      <c r="N52" s="8">
        <v>1</v>
      </c>
      <c r="O52" s="9" t="s">
        <v>925</v>
      </c>
      <c r="P52" s="11">
        <v>327.60000000000002</v>
      </c>
      <c r="Q52" s="11">
        <v>250</v>
      </c>
      <c r="R52" s="11">
        <v>249</v>
      </c>
      <c r="S52" s="11">
        <v>1100</v>
      </c>
      <c r="T52" s="11">
        <v>360360</v>
      </c>
      <c r="U52" s="12">
        <v>5.3999999999999999E-2</v>
      </c>
      <c r="V52" s="12">
        <v>0.876</v>
      </c>
      <c r="W52" s="11">
        <v>1110.3</v>
      </c>
      <c r="X52" s="9" t="s">
        <v>288</v>
      </c>
      <c r="Y52" s="10">
        <v>45257</v>
      </c>
      <c r="Z52" s="13">
        <v>0.1208</v>
      </c>
      <c r="AB52" t="b">
        <v>0</v>
      </c>
      <c r="AC52" s="9" t="s">
        <v>289</v>
      </c>
      <c r="AD52" s="9" t="s">
        <v>290</v>
      </c>
      <c r="AE52" s="8">
        <v>1438.6379999999999</v>
      </c>
      <c r="AF52" s="14">
        <v>46.721339999999998</v>
      </c>
      <c r="AG52" s="14">
        <v>-1.48315</v>
      </c>
      <c r="AH52" s="9" t="s">
        <v>291</v>
      </c>
      <c r="AI52" s="15" t="s">
        <v>396</v>
      </c>
      <c r="AJ52" s="9" t="s">
        <v>293</v>
      </c>
      <c r="AK52" s="9" t="s">
        <v>926</v>
      </c>
      <c r="AL52" s="9" t="s">
        <v>927</v>
      </c>
      <c r="AM52" s="9"/>
      <c r="AN52" s="9" t="s">
        <v>928</v>
      </c>
      <c r="AO52" s="9"/>
      <c r="AP52" s="9" t="s">
        <v>597</v>
      </c>
      <c r="AQ52" s="9" t="s">
        <v>929</v>
      </c>
      <c r="AR52" t="b">
        <v>0</v>
      </c>
      <c r="AS52" s="10"/>
      <c r="AT52" s="10" t="s">
        <v>299</v>
      </c>
      <c r="AU52" s="9"/>
      <c r="AV52" t="b">
        <v>0</v>
      </c>
      <c r="AW52" s="12"/>
      <c r="AX52" s="11"/>
      <c r="AY52" s="9"/>
      <c r="AZ52" t="b">
        <v>0</v>
      </c>
      <c r="BA52" s="9"/>
      <c r="BB52" s="12"/>
      <c r="BC52" s="11"/>
      <c r="BD52" s="9" t="s">
        <v>300</v>
      </c>
      <c r="BE52" s="9" t="s">
        <v>86</v>
      </c>
      <c r="BF52" s="9" t="s">
        <v>402</v>
      </c>
      <c r="BG52" s="9" t="s">
        <v>529</v>
      </c>
      <c r="BH52" s="9" t="s">
        <v>304</v>
      </c>
      <c r="BI52" s="9" t="s">
        <v>328</v>
      </c>
      <c r="BJ52" s="9" t="s">
        <v>329</v>
      </c>
      <c r="BK52" s="11">
        <v>856</v>
      </c>
      <c r="BL52" s="16">
        <v>191.6292</v>
      </c>
      <c r="BM52" s="10"/>
      <c r="BN52" s="10"/>
      <c r="BO52" s="10"/>
      <c r="BP52" s="16"/>
      <c r="BQ52" s="16"/>
      <c r="BR52" s="9"/>
      <c r="BS52" s="9"/>
      <c r="BT52" s="9"/>
      <c r="BU52" s="9"/>
      <c r="BV52" s="9"/>
      <c r="BW52" s="10"/>
      <c r="BX52" s="15" t="s">
        <v>930</v>
      </c>
      <c r="BY52" s="10"/>
      <c r="BZ52" s="10"/>
      <c r="CA52" s="10"/>
      <c r="CB52" t="b">
        <v>0</v>
      </c>
      <c r="CC52" s="9" t="s">
        <v>308</v>
      </c>
      <c r="CD52" s="9" t="s">
        <v>309</v>
      </c>
    </row>
    <row r="53" spans="1:82">
      <c r="A53" s="8">
        <v>29815</v>
      </c>
      <c r="B53" s="9" t="s">
        <v>931</v>
      </c>
      <c r="C53" s="9" t="s">
        <v>932</v>
      </c>
      <c r="D53" s="10">
        <v>45853</v>
      </c>
      <c r="E53" s="9" t="s">
        <v>933</v>
      </c>
      <c r="F53" s="9" t="s">
        <v>934</v>
      </c>
      <c r="G53" s="9" t="s">
        <v>935</v>
      </c>
      <c r="H53" s="9" t="s">
        <v>281</v>
      </c>
      <c r="I53" s="9" t="s">
        <v>282</v>
      </c>
      <c r="J53" s="9" t="s">
        <v>283</v>
      </c>
      <c r="K53" s="9" t="s">
        <v>284</v>
      </c>
      <c r="L53" s="9" t="s">
        <v>936</v>
      </c>
      <c r="M53" s="9" t="s">
        <v>937</v>
      </c>
      <c r="N53" s="8">
        <v>1</v>
      </c>
      <c r="O53" s="9" t="s">
        <v>938</v>
      </c>
      <c r="P53" s="11">
        <v>388.08</v>
      </c>
      <c r="Q53" s="11">
        <v>330</v>
      </c>
      <c r="R53" s="11">
        <v>249</v>
      </c>
      <c r="S53" s="11">
        <v>1115</v>
      </c>
      <c r="T53" s="11">
        <v>432709.2</v>
      </c>
      <c r="U53" s="12">
        <v>0.05</v>
      </c>
      <c r="V53" s="12">
        <v>0.85299999999999998</v>
      </c>
      <c r="W53" s="11">
        <v>1137.2</v>
      </c>
      <c r="X53" s="9" t="s">
        <v>288</v>
      </c>
      <c r="Y53" s="10">
        <v>44986</v>
      </c>
      <c r="Z53" s="13">
        <v>0.13120000000000001</v>
      </c>
      <c r="AB53" t="b">
        <v>0</v>
      </c>
      <c r="AC53" s="9" t="s">
        <v>939</v>
      </c>
      <c r="AD53" s="9" t="s">
        <v>939</v>
      </c>
      <c r="AE53" s="8">
        <v>1762.3309999999999</v>
      </c>
      <c r="AF53" s="14">
        <v>44.539079999999998</v>
      </c>
      <c r="AG53" s="14">
        <v>-8.1009999999999999E-2</v>
      </c>
      <c r="AH53" s="9" t="s">
        <v>483</v>
      </c>
      <c r="AI53" s="15" t="s">
        <v>396</v>
      </c>
      <c r="AJ53" s="9" t="s">
        <v>293</v>
      </c>
      <c r="AK53" s="9" t="s">
        <v>940</v>
      </c>
      <c r="AL53" s="9" t="s">
        <v>941</v>
      </c>
      <c r="AM53" s="9"/>
      <c r="AN53" s="9" t="s">
        <v>942</v>
      </c>
      <c r="AO53" s="9"/>
      <c r="AP53" s="9" t="s">
        <v>43</v>
      </c>
      <c r="AQ53" s="9" t="s">
        <v>847</v>
      </c>
      <c r="AR53" t="b">
        <v>0</v>
      </c>
      <c r="AS53" s="10"/>
      <c r="AT53" s="10" t="s">
        <v>299</v>
      </c>
      <c r="AU53" s="9"/>
      <c r="AV53" t="b">
        <v>0</v>
      </c>
      <c r="AW53" s="12"/>
      <c r="AX53" s="11"/>
      <c r="AY53" s="9"/>
      <c r="AZ53" t="b">
        <v>0</v>
      </c>
      <c r="BA53" s="9"/>
      <c r="BB53" s="12"/>
      <c r="BC53" s="11"/>
      <c r="BD53" s="9" t="s">
        <v>300</v>
      </c>
      <c r="BE53" s="9" t="s">
        <v>301</v>
      </c>
      <c r="BF53" s="9" t="s">
        <v>302</v>
      </c>
      <c r="BG53" s="9" t="s">
        <v>749</v>
      </c>
      <c r="BH53" s="9" t="s">
        <v>304</v>
      </c>
      <c r="BI53" s="9" t="s">
        <v>943</v>
      </c>
      <c r="BJ53" s="9" t="s">
        <v>944</v>
      </c>
      <c r="BK53" s="11">
        <v>856</v>
      </c>
      <c r="BL53" s="16">
        <v>207.52536000000001</v>
      </c>
      <c r="BM53" s="10">
        <v>45914</v>
      </c>
      <c r="BN53" s="10">
        <v>45926</v>
      </c>
      <c r="BO53" s="10"/>
      <c r="BP53" s="16"/>
      <c r="BQ53" s="16"/>
      <c r="BR53" s="9"/>
      <c r="BS53" s="9"/>
      <c r="BT53" s="9"/>
      <c r="BU53" s="9"/>
      <c r="BV53" s="9"/>
      <c r="BW53" s="10"/>
      <c r="BX53" s="15" t="s">
        <v>945</v>
      </c>
      <c r="BY53" s="10">
        <v>45853</v>
      </c>
      <c r="BZ53" s="10">
        <v>53050</v>
      </c>
      <c r="CA53" s="10">
        <v>45925</v>
      </c>
      <c r="CB53" t="b">
        <v>0</v>
      </c>
      <c r="CC53" s="9" t="s">
        <v>308</v>
      </c>
      <c r="CD53" s="9" t="s">
        <v>309</v>
      </c>
    </row>
    <row r="54" spans="1:82">
      <c r="A54" s="8">
        <v>98037</v>
      </c>
      <c r="B54" s="9" t="s">
        <v>946</v>
      </c>
      <c r="C54" s="9" t="s">
        <v>311</v>
      </c>
      <c r="D54" s="10">
        <v>45848</v>
      </c>
      <c r="E54" s="9" t="s">
        <v>947</v>
      </c>
      <c r="F54" s="9" t="s">
        <v>948</v>
      </c>
      <c r="G54" s="9" t="s">
        <v>949</v>
      </c>
      <c r="H54" s="9" t="s">
        <v>281</v>
      </c>
      <c r="I54" s="9" t="s">
        <v>282</v>
      </c>
      <c r="J54" s="9" t="s">
        <v>283</v>
      </c>
      <c r="K54" s="9" t="s">
        <v>284</v>
      </c>
      <c r="L54" s="9" t="s">
        <v>950</v>
      </c>
      <c r="M54" s="9" t="s">
        <v>951</v>
      </c>
      <c r="N54" s="8">
        <v>1</v>
      </c>
      <c r="O54" s="9" t="s">
        <v>952</v>
      </c>
      <c r="P54" s="11">
        <v>296</v>
      </c>
      <c r="Q54" s="11">
        <v>250</v>
      </c>
      <c r="R54" s="11">
        <v>249.9</v>
      </c>
      <c r="S54" s="11">
        <v>1249</v>
      </c>
      <c r="T54" s="11">
        <v>369704</v>
      </c>
      <c r="U54" s="12">
        <v>5.3999999999999999E-2</v>
      </c>
      <c r="V54" s="12">
        <v>0.873</v>
      </c>
      <c r="W54" s="11">
        <v>1251.5999999999999</v>
      </c>
      <c r="X54" s="9" t="s">
        <v>288</v>
      </c>
      <c r="Y54" s="10">
        <v>45040</v>
      </c>
      <c r="Z54" s="13">
        <v>0.13120000000000001</v>
      </c>
      <c r="AB54" t="b">
        <v>0</v>
      </c>
      <c r="AC54" s="9" t="s">
        <v>289</v>
      </c>
      <c r="AD54" s="9" t="s">
        <v>290</v>
      </c>
      <c r="AE54" s="8">
        <v>1301</v>
      </c>
      <c r="AF54" s="14">
        <v>43.041440000000001</v>
      </c>
      <c r="AG54" s="14">
        <v>1.99681</v>
      </c>
      <c r="AH54" s="9" t="s">
        <v>291</v>
      </c>
      <c r="AI54" s="15" t="s">
        <v>319</v>
      </c>
      <c r="AJ54" s="9" t="s">
        <v>293</v>
      </c>
      <c r="AK54" s="9" t="s">
        <v>953</v>
      </c>
      <c r="AL54" s="9" t="s">
        <v>954</v>
      </c>
      <c r="AM54" s="9"/>
      <c r="AN54" s="9" t="s">
        <v>955</v>
      </c>
      <c r="AO54" s="9" t="s">
        <v>956</v>
      </c>
      <c r="AP54" s="9" t="s">
        <v>469</v>
      </c>
      <c r="AQ54" s="9" t="s">
        <v>298</v>
      </c>
      <c r="AR54" t="b">
        <v>0</v>
      </c>
      <c r="AS54" s="10"/>
      <c r="AT54" s="10" t="s">
        <v>299</v>
      </c>
      <c r="AU54" s="9"/>
      <c r="AV54" t="b">
        <v>0</v>
      </c>
      <c r="AW54" s="12"/>
      <c r="AX54" s="11"/>
      <c r="AY54" s="9"/>
      <c r="AZ54" t="b">
        <v>0</v>
      </c>
      <c r="BA54" s="9"/>
      <c r="BB54" s="12"/>
      <c r="BC54" s="11"/>
      <c r="BD54" s="9" t="s">
        <v>325</v>
      </c>
      <c r="BE54" s="9" t="s">
        <v>86</v>
      </c>
      <c r="BF54" s="9" t="s">
        <v>702</v>
      </c>
      <c r="BG54" s="9" t="s">
        <v>357</v>
      </c>
      <c r="BH54" s="9" t="s">
        <v>304</v>
      </c>
      <c r="BI54" s="9" t="s">
        <v>328</v>
      </c>
      <c r="BJ54" s="9" t="s">
        <v>329</v>
      </c>
      <c r="BK54" s="11">
        <v>856</v>
      </c>
      <c r="BL54" s="16">
        <v>180.03200000000001</v>
      </c>
      <c r="BM54" s="10"/>
      <c r="BN54" s="10"/>
      <c r="BO54" s="10"/>
      <c r="BP54" s="16"/>
      <c r="BQ54" s="16"/>
      <c r="BR54" s="9"/>
      <c r="BS54" s="9"/>
      <c r="BT54" s="9"/>
      <c r="BU54" s="9"/>
      <c r="BV54" s="9"/>
      <c r="BW54" s="10"/>
      <c r="BX54" s="15" t="s">
        <v>458</v>
      </c>
      <c r="BY54" s="10"/>
      <c r="BZ54" s="10"/>
      <c r="CA54" s="10"/>
      <c r="CB54" t="b">
        <v>0</v>
      </c>
      <c r="CC54" s="9" t="s">
        <v>308</v>
      </c>
      <c r="CD54" s="9" t="s">
        <v>309</v>
      </c>
    </row>
    <row r="55" spans="1:82">
      <c r="A55" s="8">
        <v>83800</v>
      </c>
      <c r="B55" s="9" t="s">
        <v>957</v>
      </c>
      <c r="C55" s="9" t="s">
        <v>377</v>
      </c>
      <c r="D55" s="10">
        <v>45840</v>
      </c>
      <c r="E55" s="9" t="s">
        <v>958</v>
      </c>
      <c r="F55" s="9" t="s">
        <v>959</v>
      </c>
      <c r="G55" s="9" t="s">
        <v>960</v>
      </c>
      <c r="H55" s="9" t="s">
        <v>281</v>
      </c>
      <c r="I55" s="9" t="s">
        <v>282</v>
      </c>
      <c r="J55" s="9" t="s">
        <v>283</v>
      </c>
      <c r="K55" s="9" t="s">
        <v>284</v>
      </c>
      <c r="L55" s="9" t="s">
        <v>961</v>
      </c>
      <c r="M55" s="9" t="s">
        <v>962</v>
      </c>
      <c r="N55" s="8">
        <v>2</v>
      </c>
      <c r="O55" s="9" t="s">
        <v>963</v>
      </c>
      <c r="P55" s="11">
        <v>417.69</v>
      </c>
      <c r="Q55" s="11">
        <v>330</v>
      </c>
      <c r="R55" s="11">
        <v>330</v>
      </c>
      <c r="S55" s="11">
        <v>1283.0837320000001</v>
      </c>
      <c r="T55" s="11">
        <v>535931.24401907995</v>
      </c>
      <c r="U55" s="12">
        <v>5.3999999999999999E-2</v>
      </c>
      <c r="V55" s="12">
        <v>0.86570000000000003</v>
      </c>
      <c r="W55" s="11">
        <v>1287.3499999999999</v>
      </c>
      <c r="X55" s="9" t="s">
        <v>288</v>
      </c>
      <c r="Y55" s="10">
        <v>45040</v>
      </c>
      <c r="Z55" s="13">
        <v>0.12740000000000001</v>
      </c>
      <c r="AB55" t="b">
        <v>0</v>
      </c>
      <c r="AC55" s="9" t="s">
        <v>289</v>
      </c>
      <c r="AD55" s="9" t="s">
        <v>290</v>
      </c>
      <c r="AE55" s="8">
        <v>1834.2629999999999</v>
      </c>
      <c r="AF55" s="14">
        <v>44.729149999999997</v>
      </c>
      <c r="AG55" s="14">
        <v>4.7423799999999998</v>
      </c>
      <c r="AH55" s="9" t="s">
        <v>291</v>
      </c>
      <c r="AI55" s="15" t="s">
        <v>396</v>
      </c>
      <c r="AJ55" s="9" t="s">
        <v>293</v>
      </c>
      <c r="AK55" s="9" t="s">
        <v>964</v>
      </c>
      <c r="AL55" s="9" t="s">
        <v>965</v>
      </c>
      <c r="AM55" s="9"/>
      <c r="AN55" s="9" t="s">
        <v>966</v>
      </c>
      <c r="AO55" s="9"/>
      <c r="AP55" s="9" t="s">
        <v>68</v>
      </c>
      <c r="AQ55" s="9" t="s">
        <v>372</v>
      </c>
      <c r="AR55" t="b">
        <v>0</v>
      </c>
      <c r="AS55" s="10"/>
      <c r="AT55" s="10" t="s">
        <v>299</v>
      </c>
      <c r="AU55" s="9"/>
      <c r="AV55" t="b">
        <v>0</v>
      </c>
      <c r="AW55" s="12"/>
      <c r="AX55" s="11"/>
      <c r="AY55" s="9"/>
      <c r="AZ55" t="b">
        <v>0</v>
      </c>
      <c r="BA55" s="9"/>
      <c r="BB55" s="12"/>
      <c r="BC55" s="11"/>
      <c r="BD55" s="9" t="s">
        <v>300</v>
      </c>
      <c r="BE55" s="9" t="s">
        <v>301</v>
      </c>
      <c r="BF55" s="9" t="s">
        <v>356</v>
      </c>
      <c r="BG55" s="9" t="s">
        <v>967</v>
      </c>
      <c r="BH55" s="9" t="s">
        <v>304</v>
      </c>
      <c r="BI55" s="9" t="s">
        <v>386</v>
      </c>
      <c r="BJ55" s="9" t="s">
        <v>387</v>
      </c>
      <c r="BK55" s="11">
        <v>856</v>
      </c>
      <c r="BL55" s="16">
        <v>224.69223</v>
      </c>
      <c r="BM55" s="10"/>
      <c r="BN55" s="10"/>
      <c r="BO55" s="10"/>
      <c r="BP55" s="16"/>
      <c r="BQ55" s="16"/>
      <c r="BR55" s="9"/>
      <c r="BS55" s="9"/>
      <c r="BT55" s="9"/>
      <c r="BU55" s="9"/>
      <c r="BV55" s="9"/>
      <c r="BW55" s="10"/>
      <c r="BX55" s="15" t="s">
        <v>968</v>
      </c>
      <c r="BY55" s="10"/>
      <c r="BZ55" s="10"/>
      <c r="CA55" s="10"/>
      <c r="CB55" t="b">
        <v>0</v>
      </c>
      <c r="CC55" s="9" t="s">
        <v>308</v>
      </c>
      <c r="CD55" s="9" t="s">
        <v>309</v>
      </c>
    </row>
    <row r="56" spans="1:82">
      <c r="A56" s="8">
        <v>48851</v>
      </c>
      <c r="B56" s="9" t="s">
        <v>969</v>
      </c>
      <c r="C56" s="9" t="s">
        <v>970</v>
      </c>
      <c r="D56" s="10">
        <v>45840</v>
      </c>
      <c r="E56" s="9" t="s">
        <v>971</v>
      </c>
      <c r="F56" s="9" t="s">
        <v>972</v>
      </c>
      <c r="G56" s="9" t="s">
        <v>973</v>
      </c>
      <c r="H56" s="9" t="s">
        <v>281</v>
      </c>
      <c r="I56" s="9" t="s">
        <v>282</v>
      </c>
      <c r="J56" s="9" t="s">
        <v>283</v>
      </c>
      <c r="K56" s="9" t="s">
        <v>284</v>
      </c>
      <c r="L56" s="9" t="s">
        <v>974</v>
      </c>
      <c r="M56" s="9" t="s">
        <v>975</v>
      </c>
      <c r="N56" s="8">
        <v>1</v>
      </c>
      <c r="O56" s="9" t="s">
        <v>976</v>
      </c>
      <c r="P56" s="11">
        <v>335.53</v>
      </c>
      <c r="Q56" s="11">
        <v>250</v>
      </c>
      <c r="R56" s="11">
        <v>249.9</v>
      </c>
      <c r="S56" s="11">
        <v>992</v>
      </c>
      <c r="T56" s="11">
        <v>332845.76</v>
      </c>
      <c r="U56" s="12">
        <v>5.3999999999999999E-2</v>
      </c>
      <c r="V56" s="12">
        <v>0.86599999999999999</v>
      </c>
      <c r="W56" s="11">
        <v>979.4</v>
      </c>
      <c r="X56" s="9" t="s">
        <v>288</v>
      </c>
      <c r="Y56" s="10">
        <v>44984</v>
      </c>
      <c r="Z56" s="13">
        <v>0.13120000000000001</v>
      </c>
      <c r="AB56" t="b">
        <v>0</v>
      </c>
      <c r="AC56" s="9" t="s">
        <v>289</v>
      </c>
      <c r="AD56" s="9" t="s">
        <v>290</v>
      </c>
      <c r="AE56" s="8">
        <v>1506.5730000000001</v>
      </c>
      <c r="AF56" s="14">
        <v>49.26446</v>
      </c>
      <c r="AG56" s="14">
        <v>0.13550000000000001</v>
      </c>
      <c r="AH56" s="9" t="s">
        <v>483</v>
      </c>
      <c r="AI56" s="15" t="s">
        <v>396</v>
      </c>
      <c r="AJ56" s="9" t="s">
        <v>293</v>
      </c>
      <c r="AK56" s="9" t="s">
        <v>977</v>
      </c>
      <c r="AL56" s="9" t="s">
        <v>978</v>
      </c>
      <c r="AM56" s="9"/>
      <c r="AN56" s="9" t="s">
        <v>979</v>
      </c>
      <c r="AO56" s="9"/>
      <c r="AP56" s="9" t="s">
        <v>43</v>
      </c>
      <c r="AQ56" s="9" t="s">
        <v>847</v>
      </c>
      <c r="AR56" t="b">
        <v>0</v>
      </c>
      <c r="AS56" s="10"/>
      <c r="AT56" s="10" t="s">
        <v>299</v>
      </c>
      <c r="AU56" s="9"/>
      <c r="AV56" t="b">
        <v>0</v>
      </c>
      <c r="AW56" s="12"/>
      <c r="AX56" s="11"/>
      <c r="AY56" s="9"/>
      <c r="AZ56" t="b">
        <v>0</v>
      </c>
      <c r="BA56" s="9"/>
      <c r="BB56" s="12"/>
      <c r="BC56" s="11"/>
      <c r="BD56" s="9" t="s">
        <v>300</v>
      </c>
      <c r="BE56" s="9" t="s">
        <v>301</v>
      </c>
      <c r="BF56" s="9" t="s">
        <v>302</v>
      </c>
      <c r="BG56" s="9" t="s">
        <v>980</v>
      </c>
      <c r="BH56" s="9" t="s">
        <v>304</v>
      </c>
      <c r="BI56" s="9" t="s">
        <v>981</v>
      </c>
      <c r="BJ56" s="9" t="s">
        <v>982</v>
      </c>
      <c r="BK56" s="11">
        <v>856</v>
      </c>
      <c r="BL56" s="16">
        <v>188.23951</v>
      </c>
      <c r="BM56" s="10">
        <v>45888</v>
      </c>
      <c r="BN56" s="10">
        <v>45926</v>
      </c>
      <c r="BO56" s="10"/>
      <c r="BP56" s="16"/>
      <c r="BQ56" s="16"/>
      <c r="BR56" s="9"/>
      <c r="BS56" s="9"/>
      <c r="BT56" s="9"/>
      <c r="BU56" s="9"/>
      <c r="BV56" s="9"/>
      <c r="BW56" s="10"/>
      <c r="BX56" s="15" t="s">
        <v>983</v>
      </c>
      <c r="BY56" s="10"/>
      <c r="BZ56" s="10"/>
      <c r="CA56" s="10"/>
      <c r="CB56" t="b">
        <v>0</v>
      </c>
      <c r="CC56" s="9" t="s">
        <v>308</v>
      </c>
      <c r="CD56" s="9" t="s">
        <v>309</v>
      </c>
    </row>
    <row r="57" spans="1:82">
      <c r="A57" s="8">
        <v>59503</v>
      </c>
      <c r="B57" s="9" t="s">
        <v>984</v>
      </c>
      <c r="C57" s="9" t="s">
        <v>628</v>
      </c>
      <c r="D57" s="10">
        <v>45840</v>
      </c>
      <c r="E57" s="9" t="s">
        <v>985</v>
      </c>
      <c r="F57" s="9" t="s">
        <v>986</v>
      </c>
      <c r="G57" s="9" t="s">
        <v>987</v>
      </c>
      <c r="H57" s="9" t="s">
        <v>281</v>
      </c>
      <c r="I57" s="9" t="s">
        <v>282</v>
      </c>
      <c r="J57" s="9" t="s">
        <v>283</v>
      </c>
      <c r="K57" s="9" t="s">
        <v>284</v>
      </c>
      <c r="L57" s="9" t="s">
        <v>988</v>
      </c>
      <c r="M57" s="9" t="s">
        <v>989</v>
      </c>
      <c r="N57" s="8">
        <v>1</v>
      </c>
      <c r="O57" s="9" t="s">
        <v>990</v>
      </c>
      <c r="P57" s="11">
        <v>309.39999999999998</v>
      </c>
      <c r="Q57" s="11">
        <v>250</v>
      </c>
      <c r="R57" s="11">
        <v>249.9</v>
      </c>
      <c r="S57" s="11">
        <v>1073</v>
      </c>
      <c r="T57" s="11">
        <v>331986.2</v>
      </c>
      <c r="U57" s="12">
        <v>5.3999999999999999E-2</v>
      </c>
      <c r="V57" s="12">
        <v>0.87219999999999998</v>
      </c>
      <c r="W57" s="11">
        <v>1094.6600000000001</v>
      </c>
      <c r="X57" s="9" t="s">
        <v>288</v>
      </c>
      <c r="Y57" s="10">
        <v>45114</v>
      </c>
      <c r="Z57" s="13">
        <v>0.12740000000000001</v>
      </c>
      <c r="AB57" t="b">
        <v>0</v>
      </c>
      <c r="AC57" s="9" t="s">
        <v>289</v>
      </c>
      <c r="AD57" s="9" t="s">
        <v>290</v>
      </c>
      <c r="AE57" s="8">
        <v>1358.713</v>
      </c>
      <c r="AF57" s="14">
        <v>46.663730000000001</v>
      </c>
      <c r="AG57" s="14">
        <v>3.0668299999999999</v>
      </c>
      <c r="AH57" s="9" t="s">
        <v>524</v>
      </c>
      <c r="AI57" s="15" t="s">
        <v>396</v>
      </c>
      <c r="AJ57" s="9" t="s">
        <v>293</v>
      </c>
      <c r="AK57" s="9" t="s">
        <v>991</v>
      </c>
      <c r="AL57" s="9" t="s">
        <v>992</v>
      </c>
      <c r="AM57" s="9"/>
      <c r="AN57" s="9" t="s">
        <v>993</v>
      </c>
      <c r="AO57" s="9" t="s">
        <v>994</v>
      </c>
      <c r="AP57" s="9" t="s">
        <v>113</v>
      </c>
      <c r="AQ57" s="9" t="s">
        <v>355</v>
      </c>
      <c r="AR57" t="b">
        <v>0</v>
      </c>
      <c r="AS57" s="10"/>
      <c r="AT57" s="10" t="s">
        <v>299</v>
      </c>
      <c r="AU57" s="9"/>
      <c r="AV57" t="b">
        <v>0</v>
      </c>
      <c r="AW57" s="12"/>
      <c r="AX57" s="11"/>
      <c r="AY57" s="9"/>
      <c r="AZ57" t="b">
        <v>0</v>
      </c>
      <c r="BA57" s="9"/>
      <c r="BB57" s="12"/>
      <c r="BC57" s="11"/>
      <c r="BD57" s="9" t="s">
        <v>300</v>
      </c>
      <c r="BE57" s="9" t="s">
        <v>47</v>
      </c>
      <c r="BF57" s="9" t="s">
        <v>302</v>
      </c>
      <c r="BG57" s="9" t="s">
        <v>303</v>
      </c>
      <c r="BH57" s="9" t="s">
        <v>304</v>
      </c>
      <c r="BI57" s="9" t="s">
        <v>638</v>
      </c>
      <c r="BJ57" s="9" t="s">
        <v>639</v>
      </c>
      <c r="BK57" s="11">
        <v>856</v>
      </c>
      <c r="BL57" s="16">
        <v>184.94980000000001</v>
      </c>
      <c r="BM57" s="10"/>
      <c r="BN57" s="10"/>
      <c r="BO57" s="10"/>
      <c r="BP57" s="16"/>
      <c r="BQ57" s="16"/>
      <c r="BR57" s="9"/>
      <c r="BS57" s="9"/>
      <c r="BT57" s="9"/>
      <c r="BU57" s="9"/>
      <c r="BV57" s="9"/>
      <c r="BW57" s="10"/>
      <c r="BX57" s="15" t="s">
        <v>458</v>
      </c>
      <c r="BY57" s="10"/>
      <c r="BZ57" s="10"/>
      <c r="CA57" s="10"/>
      <c r="CB57" t="b">
        <v>0</v>
      </c>
      <c r="CC57" s="9" t="s">
        <v>308</v>
      </c>
      <c r="CD57" s="9" t="s">
        <v>309</v>
      </c>
    </row>
    <row r="58" spans="1:82">
      <c r="A58" s="8">
        <v>35280</v>
      </c>
      <c r="B58" s="9" t="s">
        <v>995</v>
      </c>
      <c r="C58" s="9" t="s">
        <v>311</v>
      </c>
      <c r="D58" s="10">
        <v>45838</v>
      </c>
      <c r="E58" s="9" t="s">
        <v>996</v>
      </c>
      <c r="F58" s="9" t="s">
        <v>997</v>
      </c>
      <c r="G58" s="9" t="s">
        <v>998</v>
      </c>
      <c r="H58" s="9" t="s">
        <v>281</v>
      </c>
      <c r="I58" s="9" t="s">
        <v>282</v>
      </c>
      <c r="J58" s="9" t="s">
        <v>283</v>
      </c>
      <c r="K58" s="9" t="s">
        <v>284</v>
      </c>
      <c r="L58" s="9" t="s">
        <v>999</v>
      </c>
      <c r="M58" s="9" t="s">
        <v>1000</v>
      </c>
      <c r="N58" s="8">
        <v>1</v>
      </c>
      <c r="O58" s="9" t="s">
        <v>1001</v>
      </c>
      <c r="P58" s="11">
        <v>159.25</v>
      </c>
      <c r="Q58" s="11">
        <v>165</v>
      </c>
      <c r="R58" s="11">
        <v>143</v>
      </c>
      <c r="S58" s="11">
        <v>1316</v>
      </c>
      <c r="T58" s="11">
        <v>209573</v>
      </c>
      <c r="U58" s="12">
        <v>5.3999999999999999E-2</v>
      </c>
      <c r="V58" s="12">
        <v>0.871</v>
      </c>
      <c r="W58" s="11">
        <v>1366.5</v>
      </c>
      <c r="X58" s="9" t="s">
        <v>288</v>
      </c>
      <c r="Y58" s="10">
        <v>45100</v>
      </c>
      <c r="Z58" s="13">
        <v>0.12740000000000001</v>
      </c>
      <c r="AB58" t="b">
        <v>0</v>
      </c>
      <c r="AC58" s="9" t="s">
        <v>289</v>
      </c>
      <c r="AD58" s="9" t="s">
        <v>290</v>
      </c>
      <c r="AE58" s="8">
        <v>699.33799999999997</v>
      </c>
      <c r="AF58" s="14">
        <v>44.360590000000002</v>
      </c>
      <c r="AG58" s="14">
        <v>5.0761900000000004</v>
      </c>
      <c r="AH58" s="9" t="s">
        <v>291</v>
      </c>
      <c r="AI58" s="15" t="s">
        <v>396</v>
      </c>
      <c r="AJ58" s="9" t="s">
        <v>293</v>
      </c>
      <c r="AK58" s="9" t="s">
        <v>1002</v>
      </c>
      <c r="AL58" s="9" t="s">
        <v>1003</v>
      </c>
      <c r="AM58" s="9"/>
      <c r="AN58" s="9" t="s">
        <v>1004</v>
      </c>
      <c r="AO58" s="9"/>
      <c r="AP58" s="9" t="s">
        <v>139</v>
      </c>
      <c r="AQ58" s="9" t="s">
        <v>123</v>
      </c>
      <c r="AR58" t="b">
        <v>0</v>
      </c>
      <c r="AS58" s="10"/>
      <c r="AT58" s="10" t="s">
        <v>299</v>
      </c>
      <c r="AU58" s="9"/>
      <c r="AV58" t="b">
        <v>0</v>
      </c>
      <c r="AW58" s="12"/>
      <c r="AX58" s="11"/>
      <c r="AY58" s="9"/>
      <c r="AZ58" t="b">
        <v>0</v>
      </c>
      <c r="BA58" s="9"/>
      <c r="BB58" s="12"/>
      <c r="BC58" s="11"/>
      <c r="BD58" s="9" t="s">
        <v>300</v>
      </c>
      <c r="BE58" s="9" t="s">
        <v>86</v>
      </c>
      <c r="BF58" s="9" t="s">
        <v>356</v>
      </c>
      <c r="BG58" s="9" t="s">
        <v>967</v>
      </c>
      <c r="BH58" s="9" t="s">
        <v>304</v>
      </c>
      <c r="BI58" s="9" t="s">
        <v>328</v>
      </c>
      <c r="BJ58" s="9" t="s">
        <v>329</v>
      </c>
      <c r="BK58" s="11">
        <v>856</v>
      </c>
      <c r="BL58" s="16">
        <v>129.84475</v>
      </c>
      <c r="BM58" s="10"/>
      <c r="BN58" s="10"/>
      <c r="BO58" s="10"/>
      <c r="BP58" s="16"/>
      <c r="BQ58" s="16"/>
      <c r="BR58" s="9"/>
      <c r="BS58" s="9"/>
      <c r="BT58" s="9"/>
      <c r="BU58" s="9"/>
      <c r="BV58" s="9"/>
      <c r="BW58" s="10"/>
      <c r="BX58" s="15" t="s">
        <v>1005</v>
      </c>
      <c r="BY58" s="10"/>
      <c r="BZ58" s="10"/>
      <c r="CA58" s="10"/>
      <c r="CB58" t="b">
        <v>0</v>
      </c>
      <c r="CC58" s="9" t="s">
        <v>308</v>
      </c>
      <c r="CD58" s="9" t="s">
        <v>309</v>
      </c>
    </row>
    <row r="59" spans="1:82">
      <c r="A59" s="8">
        <v>3334</v>
      </c>
      <c r="B59" s="9" t="s">
        <v>1006</v>
      </c>
      <c r="C59" s="9" t="s">
        <v>517</v>
      </c>
      <c r="D59" s="10">
        <v>45838</v>
      </c>
      <c r="E59" s="9" t="s">
        <v>1007</v>
      </c>
      <c r="F59" s="9" t="s">
        <v>694</v>
      </c>
      <c r="G59" s="9" t="s">
        <v>1008</v>
      </c>
      <c r="H59" s="9" t="s">
        <v>281</v>
      </c>
      <c r="I59" s="9" t="s">
        <v>282</v>
      </c>
      <c r="J59" s="9" t="s">
        <v>283</v>
      </c>
      <c r="K59" s="9" t="s">
        <v>284</v>
      </c>
      <c r="L59" s="9" t="s">
        <v>1009</v>
      </c>
      <c r="M59" s="9" t="s">
        <v>1010</v>
      </c>
      <c r="N59" s="8">
        <v>1</v>
      </c>
      <c r="O59" s="9" t="s">
        <v>1011</v>
      </c>
      <c r="P59" s="11">
        <v>218.4</v>
      </c>
      <c r="Q59" s="11">
        <v>165</v>
      </c>
      <c r="R59" s="11">
        <v>165</v>
      </c>
      <c r="S59" s="11">
        <v>1242</v>
      </c>
      <c r="T59" s="11">
        <v>271252.8</v>
      </c>
      <c r="U59" s="12">
        <v>5.3999999999999999E-2</v>
      </c>
      <c r="V59" s="12">
        <v>0.872</v>
      </c>
      <c r="W59" s="11">
        <v>1294.0999999999999</v>
      </c>
      <c r="X59" s="9" t="s">
        <v>288</v>
      </c>
      <c r="Y59" s="10">
        <v>45324</v>
      </c>
      <c r="Z59" s="13">
        <v>0.11509999999999999</v>
      </c>
      <c r="AB59" t="b">
        <v>0</v>
      </c>
      <c r="AC59" s="9" t="s">
        <v>289</v>
      </c>
      <c r="AD59" s="9" t="s">
        <v>290</v>
      </c>
      <c r="AE59" s="8">
        <v>959.09199999999998</v>
      </c>
      <c r="AF59" s="14">
        <v>43.249890000000001</v>
      </c>
      <c r="AG59" s="14">
        <v>2.6411699999999998</v>
      </c>
      <c r="AH59" s="9" t="s">
        <v>524</v>
      </c>
      <c r="AI59" s="15" t="s">
        <v>396</v>
      </c>
      <c r="AJ59" s="9" t="s">
        <v>293</v>
      </c>
      <c r="AK59" s="9" t="s">
        <v>1012</v>
      </c>
      <c r="AL59" s="9" t="s">
        <v>1013</v>
      </c>
      <c r="AM59" s="9"/>
      <c r="AN59" s="9" t="s">
        <v>1014</v>
      </c>
      <c r="AO59" s="9"/>
      <c r="AP59" s="9" t="s">
        <v>139</v>
      </c>
      <c r="AQ59" s="9" t="s">
        <v>372</v>
      </c>
      <c r="AR59" t="b">
        <v>0</v>
      </c>
      <c r="AS59" s="10"/>
      <c r="AT59" s="10" t="s">
        <v>299</v>
      </c>
      <c r="AU59" s="9"/>
      <c r="AV59" t="b">
        <v>0</v>
      </c>
      <c r="AW59" s="12"/>
      <c r="AX59" s="11"/>
      <c r="AY59" s="9"/>
      <c r="AZ59" t="b">
        <v>0</v>
      </c>
      <c r="BA59" s="9"/>
      <c r="BB59" s="12"/>
      <c r="BC59" s="11"/>
      <c r="BD59" s="9" t="s">
        <v>300</v>
      </c>
      <c r="BE59" s="9" t="s">
        <v>47</v>
      </c>
      <c r="BF59" s="9" t="s">
        <v>702</v>
      </c>
      <c r="BG59" s="9" t="s">
        <v>357</v>
      </c>
      <c r="BH59" s="9" t="s">
        <v>304</v>
      </c>
      <c r="BI59" s="9" t="s">
        <v>530</v>
      </c>
      <c r="BJ59" s="9" t="s">
        <v>531</v>
      </c>
      <c r="BK59" s="11">
        <v>856</v>
      </c>
      <c r="BL59" s="16">
        <v>151.55279999999999</v>
      </c>
      <c r="BM59" s="10"/>
      <c r="BN59" s="10"/>
      <c r="BO59" s="10"/>
      <c r="BP59" s="16"/>
      <c r="BQ59" s="16"/>
      <c r="BR59" s="9" t="s">
        <v>1012</v>
      </c>
      <c r="BS59" s="9" t="s">
        <v>1015</v>
      </c>
      <c r="BT59" s="9" t="s">
        <v>1016</v>
      </c>
      <c r="BU59" s="9" t="s">
        <v>694</v>
      </c>
      <c r="BV59" s="9"/>
      <c r="BW59" s="10">
        <v>56795</v>
      </c>
      <c r="BX59" s="15" t="s">
        <v>1017</v>
      </c>
      <c r="BY59" s="10"/>
      <c r="BZ59" s="10"/>
      <c r="CA59" s="10"/>
      <c r="CB59" t="b">
        <v>0</v>
      </c>
      <c r="CC59" s="9" t="s">
        <v>308</v>
      </c>
      <c r="CD59" s="9" t="s">
        <v>309</v>
      </c>
    </row>
    <row r="60" spans="1:82">
      <c r="A60" s="8">
        <v>60829</v>
      </c>
      <c r="B60" s="9" t="s">
        <v>1018</v>
      </c>
      <c r="C60" s="9" t="s">
        <v>277</v>
      </c>
      <c r="D60" s="10">
        <v>45835</v>
      </c>
      <c r="E60" s="9" t="s">
        <v>1019</v>
      </c>
      <c r="F60" s="9" t="s">
        <v>1020</v>
      </c>
      <c r="G60" s="9" t="s">
        <v>1021</v>
      </c>
      <c r="H60" s="9" t="s">
        <v>281</v>
      </c>
      <c r="I60" s="9" t="s">
        <v>282</v>
      </c>
      <c r="J60" s="9" t="s">
        <v>283</v>
      </c>
      <c r="K60" s="9" t="s">
        <v>284</v>
      </c>
      <c r="L60" s="9" t="s">
        <v>1022</v>
      </c>
      <c r="M60" s="9" t="s">
        <v>1023</v>
      </c>
      <c r="N60" s="8">
        <v>1</v>
      </c>
      <c r="O60" s="9" t="s">
        <v>1024</v>
      </c>
      <c r="P60" s="11">
        <v>249.79499999999999</v>
      </c>
      <c r="Q60" s="11">
        <v>220</v>
      </c>
      <c r="R60" s="11">
        <v>208</v>
      </c>
      <c r="S60" s="11">
        <v>1093</v>
      </c>
      <c r="T60" s="11">
        <v>273025.935</v>
      </c>
      <c r="U60" s="12">
        <v>5.3999999999999999E-2</v>
      </c>
      <c r="V60" s="12">
        <v>0.87519999999999998</v>
      </c>
      <c r="W60" s="11">
        <v>1081.56</v>
      </c>
      <c r="X60" s="9" t="s">
        <v>288</v>
      </c>
      <c r="Y60" s="10">
        <v>44712</v>
      </c>
      <c r="Z60" s="13">
        <v>0.13120000000000001</v>
      </c>
      <c r="AB60" t="b">
        <v>0</v>
      </c>
      <c r="AC60" s="9" t="s">
        <v>289</v>
      </c>
      <c r="AD60" s="9" t="s">
        <v>290</v>
      </c>
      <c r="AE60" s="8">
        <v>1096.961</v>
      </c>
      <c r="AF60" s="14">
        <v>46.459899999999998</v>
      </c>
      <c r="AG60" s="14">
        <v>3.4374400000000001</v>
      </c>
      <c r="AH60" s="9" t="s">
        <v>291</v>
      </c>
      <c r="AI60" s="15" t="s">
        <v>396</v>
      </c>
      <c r="AJ60" s="9" t="s">
        <v>293</v>
      </c>
      <c r="AK60" s="9" t="s">
        <v>1025</v>
      </c>
      <c r="AL60" s="9" t="s">
        <v>1026</v>
      </c>
      <c r="AM60" s="9"/>
      <c r="AN60" s="9" t="s">
        <v>1027</v>
      </c>
      <c r="AO60" s="9"/>
      <c r="AP60" s="9" t="s">
        <v>68</v>
      </c>
      <c r="AQ60" s="9" t="s">
        <v>298</v>
      </c>
      <c r="AR60" t="b">
        <v>0</v>
      </c>
      <c r="AS60" s="10"/>
      <c r="AT60" s="10" t="s">
        <v>299</v>
      </c>
      <c r="AU60" s="9"/>
      <c r="AV60" t="b">
        <v>0</v>
      </c>
      <c r="AW60" s="12"/>
      <c r="AX60" s="11"/>
      <c r="AY60" s="9"/>
      <c r="AZ60" t="b">
        <v>0</v>
      </c>
      <c r="BA60" s="9"/>
      <c r="BB60" s="12"/>
      <c r="BC60" s="11"/>
      <c r="BD60" s="9" t="s">
        <v>300</v>
      </c>
      <c r="BE60" s="9" t="s">
        <v>301</v>
      </c>
      <c r="BF60" s="9" t="s">
        <v>356</v>
      </c>
      <c r="BG60" s="9" t="s">
        <v>303</v>
      </c>
      <c r="BH60" s="9" t="s">
        <v>304</v>
      </c>
      <c r="BI60" s="9" t="s">
        <v>305</v>
      </c>
      <c r="BJ60" s="9" t="s">
        <v>306</v>
      </c>
      <c r="BK60" s="11">
        <v>856</v>
      </c>
      <c r="BL60" s="16">
        <v>163.07476500000001</v>
      </c>
      <c r="BM60" s="10"/>
      <c r="BN60" s="10"/>
      <c r="BO60" s="10"/>
      <c r="BP60" s="16"/>
      <c r="BQ60" s="16"/>
      <c r="BR60" s="9"/>
      <c r="BS60" s="9"/>
      <c r="BT60" s="9"/>
      <c r="BU60" s="9"/>
      <c r="BV60" s="9"/>
      <c r="BW60" s="10"/>
      <c r="BX60" s="15" t="s">
        <v>1028</v>
      </c>
      <c r="BY60" s="10"/>
      <c r="BZ60" s="10"/>
      <c r="CA60" s="10"/>
      <c r="CB60" t="b">
        <v>0</v>
      </c>
      <c r="CC60" s="9" t="s">
        <v>308</v>
      </c>
      <c r="CD60" s="9" t="s">
        <v>309</v>
      </c>
    </row>
    <row r="61" spans="1:82">
      <c r="A61" s="8">
        <v>60832</v>
      </c>
      <c r="B61" s="9" t="s">
        <v>1018</v>
      </c>
      <c r="C61" s="9" t="s">
        <v>277</v>
      </c>
      <c r="D61" s="10">
        <v>45835</v>
      </c>
      <c r="E61" s="9" t="s">
        <v>1019</v>
      </c>
      <c r="F61" s="9" t="s">
        <v>1020</v>
      </c>
      <c r="G61" s="9" t="s">
        <v>1021</v>
      </c>
      <c r="H61" s="9" t="s">
        <v>281</v>
      </c>
      <c r="I61" s="9" t="s">
        <v>282</v>
      </c>
      <c r="J61" s="9" t="s">
        <v>283</v>
      </c>
      <c r="K61" s="9" t="s">
        <v>284</v>
      </c>
      <c r="L61" s="9" t="s">
        <v>1029</v>
      </c>
      <c r="M61" s="9" t="s">
        <v>1030</v>
      </c>
      <c r="N61" s="8">
        <v>1</v>
      </c>
      <c r="O61" s="9" t="s">
        <v>1031</v>
      </c>
      <c r="P61" s="11">
        <v>249.79499999999999</v>
      </c>
      <c r="Q61" s="11">
        <v>220</v>
      </c>
      <c r="R61" s="11">
        <v>208</v>
      </c>
      <c r="S61" s="11">
        <v>1098</v>
      </c>
      <c r="T61" s="11">
        <v>274274.90999999997</v>
      </c>
      <c r="U61" s="12">
        <v>5.3999999999999999E-2</v>
      </c>
      <c r="V61" s="12">
        <v>0.876</v>
      </c>
      <c r="W61" s="11">
        <v>1083.0999999999999</v>
      </c>
      <c r="X61" s="9" t="s">
        <v>288</v>
      </c>
      <c r="Y61" s="10">
        <v>44712</v>
      </c>
      <c r="Z61" s="13">
        <v>0.13120000000000001</v>
      </c>
      <c r="AB61" t="b">
        <v>0</v>
      </c>
      <c r="AC61" s="9" t="s">
        <v>289</v>
      </c>
      <c r="AD61" s="9" t="s">
        <v>290</v>
      </c>
      <c r="AE61" s="8">
        <v>1096.961</v>
      </c>
      <c r="AF61" s="14">
        <v>46.460430000000002</v>
      </c>
      <c r="AG61" s="14">
        <v>3.4381599999999999</v>
      </c>
      <c r="AH61" s="9" t="s">
        <v>291</v>
      </c>
      <c r="AI61" s="15" t="s">
        <v>396</v>
      </c>
      <c r="AJ61" s="9" t="s">
        <v>293</v>
      </c>
      <c r="AK61" s="9" t="s">
        <v>1025</v>
      </c>
      <c r="AL61" s="9" t="s">
        <v>1026</v>
      </c>
      <c r="AM61" s="9"/>
      <c r="AN61" s="9" t="s">
        <v>1027</v>
      </c>
      <c r="AO61" s="9"/>
      <c r="AP61" s="9" t="s">
        <v>68</v>
      </c>
      <c r="AQ61" s="9" t="s">
        <v>298</v>
      </c>
      <c r="AR61" t="b">
        <v>0</v>
      </c>
      <c r="AS61" s="10"/>
      <c r="AT61" s="10" t="s">
        <v>299</v>
      </c>
      <c r="AU61" s="9"/>
      <c r="AV61" t="b">
        <v>0</v>
      </c>
      <c r="AW61" s="12"/>
      <c r="AX61" s="11"/>
      <c r="AY61" s="9"/>
      <c r="AZ61" t="b">
        <v>0</v>
      </c>
      <c r="BA61" s="9"/>
      <c r="BB61" s="12"/>
      <c r="BC61" s="11"/>
      <c r="BD61" s="9" t="s">
        <v>300</v>
      </c>
      <c r="BE61" s="9" t="s">
        <v>301</v>
      </c>
      <c r="BF61" s="9" t="s">
        <v>356</v>
      </c>
      <c r="BG61" s="9" t="s">
        <v>303</v>
      </c>
      <c r="BH61" s="9" t="s">
        <v>304</v>
      </c>
      <c r="BI61" s="9" t="s">
        <v>305</v>
      </c>
      <c r="BJ61" s="9" t="s">
        <v>306</v>
      </c>
      <c r="BK61" s="11">
        <v>856</v>
      </c>
      <c r="BL61" s="16">
        <v>163.07476500000001</v>
      </c>
      <c r="BM61" s="10"/>
      <c r="BN61" s="10"/>
      <c r="BO61" s="10"/>
      <c r="BP61" s="16"/>
      <c r="BQ61" s="16"/>
      <c r="BR61" s="9"/>
      <c r="BS61" s="9"/>
      <c r="BT61" s="9"/>
      <c r="BU61" s="9"/>
      <c r="BV61" s="9"/>
      <c r="BW61" s="10"/>
      <c r="BX61" s="15" t="s">
        <v>870</v>
      </c>
      <c r="BY61" s="10"/>
      <c r="BZ61" s="10"/>
      <c r="CA61" s="10"/>
      <c r="CB61" t="b">
        <v>0</v>
      </c>
      <c r="CC61" s="9" t="s">
        <v>308</v>
      </c>
      <c r="CD61" s="9" t="s">
        <v>309</v>
      </c>
    </row>
    <row r="62" spans="1:82">
      <c r="A62" s="8">
        <v>76546</v>
      </c>
      <c r="B62" s="9" t="s">
        <v>1032</v>
      </c>
      <c r="C62" s="9" t="s">
        <v>377</v>
      </c>
      <c r="D62" s="10">
        <v>45833</v>
      </c>
      <c r="E62" s="9" t="s">
        <v>1033</v>
      </c>
      <c r="F62" s="9" t="s">
        <v>1034</v>
      </c>
      <c r="G62" s="9" t="s">
        <v>1035</v>
      </c>
      <c r="H62" s="9" t="s">
        <v>281</v>
      </c>
      <c r="I62" s="9" t="s">
        <v>282</v>
      </c>
      <c r="J62" s="9" t="s">
        <v>283</v>
      </c>
      <c r="K62" s="9" t="s">
        <v>284</v>
      </c>
      <c r="L62" s="9" t="s">
        <v>1036</v>
      </c>
      <c r="M62" s="9" t="s">
        <v>1037</v>
      </c>
      <c r="N62" s="8">
        <v>1</v>
      </c>
      <c r="O62" s="9" t="s">
        <v>1038</v>
      </c>
      <c r="P62" s="11">
        <v>163.80000000000001</v>
      </c>
      <c r="Q62" s="11">
        <v>165</v>
      </c>
      <c r="R62" s="11">
        <v>143</v>
      </c>
      <c r="S62" s="11">
        <v>1382</v>
      </c>
      <c r="T62" s="11">
        <v>226371.6</v>
      </c>
      <c r="U62" s="12">
        <v>5.3999999999999999E-2</v>
      </c>
      <c r="V62" s="12">
        <v>0.86539999999999995</v>
      </c>
      <c r="W62" s="11">
        <v>1431.23</v>
      </c>
      <c r="X62" s="9" t="s">
        <v>288</v>
      </c>
      <c r="Y62" s="10">
        <v>44910</v>
      </c>
      <c r="Z62" s="13">
        <v>0.13109999999999999</v>
      </c>
      <c r="AB62" t="b">
        <v>0</v>
      </c>
      <c r="AC62" s="9" t="s">
        <v>289</v>
      </c>
      <c r="AD62" s="9" t="s">
        <v>290</v>
      </c>
      <c r="AE62" s="8">
        <v>719.31899999999996</v>
      </c>
      <c r="AF62" s="14">
        <v>44.122660000000003</v>
      </c>
      <c r="AG62" s="14">
        <v>4.1516999999999999</v>
      </c>
      <c r="AH62" s="9" t="s">
        <v>291</v>
      </c>
      <c r="AI62" s="15" t="s">
        <v>396</v>
      </c>
      <c r="AJ62" s="9" t="s">
        <v>293</v>
      </c>
      <c r="AK62" s="9" t="s">
        <v>1039</v>
      </c>
      <c r="AL62" s="9" t="s">
        <v>1040</v>
      </c>
      <c r="AM62" s="9"/>
      <c r="AN62" s="9" t="s">
        <v>1041</v>
      </c>
      <c r="AO62" s="9"/>
      <c r="AP62" s="9" t="s">
        <v>139</v>
      </c>
      <c r="AQ62" s="9" t="s">
        <v>372</v>
      </c>
      <c r="AR62" t="b">
        <v>0</v>
      </c>
      <c r="AS62" s="10"/>
      <c r="AT62" s="10" t="s">
        <v>299</v>
      </c>
      <c r="AU62" s="9"/>
      <c r="AV62" t="b">
        <v>0</v>
      </c>
      <c r="AW62" s="12"/>
      <c r="AX62" s="11"/>
      <c r="AY62" s="9"/>
      <c r="AZ62" t="b">
        <v>0</v>
      </c>
      <c r="BA62" s="9"/>
      <c r="BB62" s="12"/>
      <c r="BC62" s="11"/>
      <c r="BD62" s="9" t="s">
        <v>300</v>
      </c>
      <c r="BE62" s="9" t="s">
        <v>301</v>
      </c>
      <c r="BF62" s="9" t="s">
        <v>356</v>
      </c>
      <c r="BG62" s="9" t="s">
        <v>357</v>
      </c>
      <c r="BH62" s="9" t="s">
        <v>304</v>
      </c>
      <c r="BI62" s="9" t="s">
        <v>386</v>
      </c>
      <c r="BJ62" s="9" t="s">
        <v>387</v>
      </c>
      <c r="BK62" s="11">
        <v>856</v>
      </c>
      <c r="BL62" s="16">
        <v>131.5146</v>
      </c>
      <c r="BM62" s="10"/>
      <c r="BN62" s="10"/>
      <c r="BO62" s="10"/>
      <c r="BP62" s="16"/>
      <c r="BQ62" s="16"/>
      <c r="BR62" s="9"/>
      <c r="BS62" s="9"/>
      <c r="BT62" s="9"/>
      <c r="BU62" s="9"/>
      <c r="BV62" s="9"/>
      <c r="BW62" s="10"/>
      <c r="BX62" s="15" t="s">
        <v>1042</v>
      </c>
      <c r="BY62" s="10"/>
      <c r="BZ62" s="10"/>
      <c r="CA62" s="10"/>
      <c r="CB62" t="b">
        <v>0</v>
      </c>
      <c r="CC62" s="9" t="s">
        <v>308</v>
      </c>
      <c r="CD62" s="9" t="s">
        <v>309</v>
      </c>
    </row>
    <row r="63" spans="1:82">
      <c r="A63" s="8">
        <v>3384</v>
      </c>
      <c r="B63" s="9" t="s">
        <v>1043</v>
      </c>
      <c r="C63" s="9" t="s">
        <v>932</v>
      </c>
      <c r="D63" s="10">
        <v>45832</v>
      </c>
      <c r="E63" s="9" t="s">
        <v>1044</v>
      </c>
      <c r="F63" s="9" t="s">
        <v>1045</v>
      </c>
      <c r="G63" s="9" t="s">
        <v>1046</v>
      </c>
      <c r="H63" s="9" t="s">
        <v>315</v>
      </c>
      <c r="I63" s="9" t="s">
        <v>282</v>
      </c>
      <c r="J63" s="9" t="s">
        <v>283</v>
      </c>
      <c r="K63" s="9" t="s">
        <v>284</v>
      </c>
      <c r="L63" s="9" t="s">
        <v>1047</v>
      </c>
      <c r="M63" s="9" t="s">
        <v>1048</v>
      </c>
      <c r="N63" s="8">
        <v>1</v>
      </c>
      <c r="O63" s="9" t="s">
        <v>1049</v>
      </c>
      <c r="P63" s="11">
        <v>118.37</v>
      </c>
      <c r="Q63" s="11">
        <v>110</v>
      </c>
      <c r="R63" s="11">
        <v>99</v>
      </c>
      <c r="S63" s="11">
        <v>1142</v>
      </c>
      <c r="T63" s="11">
        <v>135178.54</v>
      </c>
      <c r="U63" s="12">
        <v>5.3999999999999999E-2</v>
      </c>
      <c r="V63" s="12">
        <v>0.84513640599999995</v>
      </c>
      <c r="W63" s="11">
        <v>1111.92</v>
      </c>
      <c r="X63" s="9" t="s">
        <v>288</v>
      </c>
      <c r="Y63" s="10">
        <v>45174</v>
      </c>
      <c r="Z63" s="13">
        <v>0.124</v>
      </c>
      <c r="AB63" t="b">
        <v>0</v>
      </c>
      <c r="AC63" s="9" t="s">
        <v>289</v>
      </c>
      <c r="AD63" s="9" t="s">
        <v>290</v>
      </c>
      <c r="AE63" s="8">
        <v>531</v>
      </c>
      <c r="AF63" s="14">
        <v>47.327959999999997</v>
      </c>
      <c r="AG63" s="14">
        <v>0.70111999999999997</v>
      </c>
      <c r="AH63" s="9" t="s">
        <v>483</v>
      </c>
      <c r="AI63" s="15" t="s">
        <v>396</v>
      </c>
      <c r="AJ63" s="9" t="s">
        <v>293</v>
      </c>
      <c r="AK63" s="9" t="s">
        <v>1050</v>
      </c>
      <c r="AL63" s="9" t="s">
        <v>1051</v>
      </c>
      <c r="AM63" s="9"/>
      <c r="AN63" s="9" t="s">
        <v>1052</v>
      </c>
      <c r="AO63" s="9"/>
      <c r="AP63" s="9" t="s">
        <v>597</v>
      </c>
      <c r="AQ63" s="9" t="s">
        <v>1053</v>
      </c>
      <c r="AR63" t="b">
        <v>1</v>
      </c>
      <c r="AS63" s="10">
        <v>46022</v>
      </c>
      <c r="AT63" s="10">
        <v>46022</v>
      </c>
      <c r="AU63" s="9" t="s">
        <v>470</v>
      </c>
      <c r="AV63" t="b">
        <v>0</v>
      </c>
      <c r="AW63" s="12"/>
      <c r="AX63" s="11">
        <v>850</v>
      </c>
      <c r="AY63" s="9" t="s">
        <v>471</v>
      </c>
      <c r="AZ63" t="b">
        <v>1</v>
      </c>
      <c r="BA63" s="9" t="s">
        <v>472</v>
      </c>
      <c r="BB63" s="12"/>
      <c r="BC63" s="11">
        <v>850</v>
      </c>
      <c r="BD63" s="9" t="s">
        <v>300</v>
      </c>
      <c r="BE63" s="9" t="s">
        <v>301</v>
      </c>
      <c r="BF63" s="9" t="s">
        <v>402</v>
      </c>
      <c r="BG63" s="9" t="s">
        <v>529</v>
      </c>
      <c r="BH63" s="9" t="s">
        <v>304</v>
      </c>
      <c r="BI63" s="9" t="s">
        <v>943</v>
      </c>
      <c r="BJ63" s="9" t="s">
        <v>944</v>
      </c>
      <c r="BK63" s="11">
        <v>856</v>
      </c>
      <c r="BL63" s="16">
        <v>108.54179000000001</v>
      </c>
      <c r="BM63" s="10">
        <v>45848</v>
      </c>
      <c r="BN63" s="10">
        <v>45929</v>
      </c>
      <c r="BO63" s="10"/>
      <c r="BP63" s="16"/>
      <c r="BQ63" s="16"/>
      <c r="BR63" s="9" t="s">
        <v>1054</v>
      </c>
      <c r="BS63" s="9" t="s">
        <v>1055</v>
      </c>
      <c r="BT63" s="9" t="s">
        <v>1056</v>
      </c>
      <c r="BU63" s="9" t="s">
        <v>1057</v>
      </c>
      <c r="BV63" s="9" t="s">
        <v>1058</v>
      </c>
      <c r="BW63" s="10"/>
      <c r="BX63" s="15" t="s">
        <v>1059</v>
      </c>
      <c r="BY63" s="10"/>
      <c r="BZ63" s="10"/>
      <c r="CA63" s="10"/>
      <c r="CB63" t="b">
        <v>1</v>
      </c>
      <c r="CC63" s="9" t="s">
        <v>308</v>
      </c>
      <c r="CD63" s="9" t="s">
        <v>309</v>
      </c>
    </row>
    <row r="64" spans="1:82">
      <c r="A64" s="8">
        <v>90189</v>
      </c>
      <c r="B64" s="9" t="s">
        <v>1060</v>
      </c>
      <c r="C64" s="9" t="s">
        <v>277</v>
      </c>
      <c r="D64" s="10">
        <v>45831</v>
      </c>
      <c r="E64" s="9" t="s">
        <v>1061</v>
      </c>
      <c r="F64" s="9" t="s">
        <v>1062</v>
      </c>
      <c r="G64" s="9" t="s">
        <v>1063</v>
      </c>
      <c r="H64" s="9" t="s">
        <v>281</v>
      </c>
      <c r="I64" s="9" t="s">
        <v>282</v>
      </c>
      <c r="J64" s="9" t="s">
        <v>283</v>
      </c>
      <c r="K64" s="9" t="s">
        <v>284</v>
      </c>
      <c r="L64" s="9" t="s">
        <v>1064</v>
      </c>
      <c r="M64" s="9" t="s">
        <v>1065</v>
      </c>
      <c r="N64" s="8">
        <v>2</v>
      </c>
      <c r="O64" s="9" t="s">
        <v>1066</v>
      </c>
      <c r="P64" s="11">
        <v>499.59</v>
      </c>
      <c r="Q64" s="11">
        <v>440</v>
      </c>
      <c r="R64" s="11">
        <v>416</v>
      </c>
      <c r="S64" s="11">
        <v>1186.27054108216</v>
      </c>
      <c r="T64" s="11">
        <v>592648.89961923601</v>
      </c>
      <c r="U64" s="12">
        <v>5.3999999999999999E-2</v>
      </c>
      <c r="V64" s="12">
        <v>0.87729999999999997</v>
      </c>
      <c r="W64" s="11">
        <v>1188.33</v>
      </c>
      <c r="X64" s="9" t="s">
        <v>288</v>
      </c>
      <c r="Y64" s="10">
        <v>45205</v>
      </c>
      <c r="Z64" s="13">
        <v>0.124</v>
      </c>
      <c r="AB64" t="b">
        <v>0</v>
      </c>
      <c r="AC64" s="9" t="s">
        <v>289</v>
      </c>
      <c r="AD64" s="9" t="s">
        <v>290</v>
      </c>
      <c r="AE64" s="8">
        <v>2193.922</v>
      </c>
      <c r="AF64" s="14">
        <v>45.197090000000003</v>
      </c>
      <c r="AG64" s="14">
        <v>4.66906</v>
      </c>
      <c r="AH64" s="9" t="s">
        <v>291</v>
      </c>
      <c r="AI64" s="15" t="s">
        <v>396</v>
      </c>
      <c r="AJ64" s="9" t="s">
        <v>293</v>
      </c>
      <c r="AK64" s="9" t="s">
        <v>1067</v>
      </c>
      <c r="AL64" s="9" t="s">
        <v>1068</v>
      </c>
      <c r="AM64" s="9"/>
      <c r="AN64" s="9" t="s">
        <v>1069</v>
      </c>
      <c r="AO64" s="9"/>
      <c r="AP64" s="9" t="s">
        <v>139</v>
      </c>
      <c r="AQ64" s="9" t="s">
        <v>355</v>
      </c>
      <c r="AR64" t="b">
        <v>0</v>
      </c>
      <c r="AS64" s="10"/>
      <c r="AT64" s="10" t="s">
        <v>299</v>
      </c>
      <c r="AU64" s="9"/>
      <c r="AV64" t="b">
        <v>0</v>
      </c>
      <c r="AW64" s="12"/>
      <c r="AX64" s="11"/>
      <c r="AY64" s="9"/>
      <c r="AZ64" t="b">
        <v>0</v>
      </c>
      <c r="BA64" s="9"/>
      <c r="BB64" s="12"/>
      <c r="BC64" s="11"/>
      <c r="BD64" s="9" t="s">
        <v>300</v>
      </c>
      <c r="BE64" s="9" t="s">
        <v>301</v>
      </c>
      <c r="BF64" s="9" t="s">
        <v>302</v>
      </c>
      <c r="BG64" s="9" t="s">
        <v>967</v>
      </c>
      <c r="BH64" s="9" t="s">
        <v>304</v>
      </c>
      <c r="BI64" s="9" t="s">
        <v>305</v>
      </c>
      <c r="BJ64" s="9" t="s">
        <v>306</v>
      </c>
      <c r="BK64" s="11">
        <v>856</v>
      </c>
      <c r="BL64" s="16">
        <v>254.74952999999999</v>
      </c>
      <c r="BM64" s="10"/>
      <c r="BN64" s="10"/>
      <c r="BO64" s="10"/>
      <c r="BP64" s="16"/>
      <c r="BQ64" s="16"/>
      <c r="BR64" s="9"/>
      <c r="BS64" s="9"/>
      <c r="BT64" s="9"/>
      <c r="BU64" s="9"/>
      <c r="BV64" s="9"/>
      <c r="BW64" s="10"/>
      <c r="BX64" s="15" t="s">
        <v>1070</v>
      </c>
      <c r="BY64" s="10"/>
      <c r="BZ64" s="10"/>
      <c r="CA64" s="10"/>
      <c r="CB64" t="b">
        <v>0</v>
      </c>
      <c r="CC64" s="9" t="s">
        <v>308</v>
      </c>
      <c r="CD64" s="9" t="s">
        <v>309</v>
      </c>
    </row>
    <row r="65" spans="1:82">
      <c r="A65" s="8">
        <v>61429</v>
      </c>
      <c r="B65" s="9" t="s">
        <v>1071</v>
      </c>
      <c r="C65" s="9" t="s">
        <v>628</v>
      </c>
      <c r="D65" s="10">
        <v>45827</v>
      </c>
      <c r="E65" s="9" t="s">
        <v>1072</v>
      </c>
      <c r="F65" s="9" t="s">
        <v>1073</v>
      </c>
      <c r="G65" s="9" t="s">
        <v>1074</v>
      </c>
      <c r="H65" s="9" t="s">
        <v>281</v>
      </c>
      <c r="I65" s="9" t="s">
        <v>282</v>
      </c>
      <c r="J65" s="9" t="s">
        <v>283</v>
      </c>
      <c r="K65" s="9" t="s">
        <v>284</v>
      </c>
      <c r="L65" s="9" t="s">
        <v>1075</v>
      </c>
      <c r="M65" s="9" t="s">
        <v>1076</v>
      </c>
      <c r="N65" s="8">
        <v>1</v>
      </c>
      <c r="O65" s="9" t="s">
        <v>1077</v>
      </c>
      <c r="P65" s="11">
        <v>263.89999999999998</v>
      </c>
      <c r="Q65" s="11">
        <v>220</v>
      </c>
      <c r="R65" s="11">
        <v>212.7</v>
      </c>
      <c r="S65" s="11">
        <v>1213</v>
      </c>
      <c r="T65" s="11">
        <v>320110.7</v>
      </c>
      <c r="U65" s="12">
        <v>5.3999999999999999E-2</v>
      </c>
      <c r="V65" s="12">
        <v>0.87290000000000001</v>
      </c>
      <c r="W65" s="11">
        <v>1200.67</v>
      </c>
      <c r="X65" s="9" t="s">
        <v>288</v>
      </c>
      <c r="Y65" s="10">
        <v>45126</v>
      </c>
      <c r="Z65" s="13">
        <v>0.12740000000000001</v>
      </c>
      <c r="AB65" t="b">
        <v>0</v>
      </c>
      <c r="AC65" s="9" t="s">
        <v>289</v>
      </c>
      <c r="AD65" s="9" t="s">
        <v>290</v>
      </c>
      <c r="AE65" s="8">
        <v>1158.903</v>
      </c>
      <c r="AF65" s="14">
        <v>43.933500000000002</v>
      </c>
      <c r="AG65" s="14">
        <v>1.7004600000000001</v>
      </c>
      <c r="AH65" s="9" t="s">
        <v>524</v>
      </c>
      <c r="AI65" s="15" t="s">
        <v>396</v>
      </c>
      <c r="AJ65" s="9" t="s">
        <v>293</v>
      </c>
      <c r="AK65" s="9" t="s">
        <v>1078</v>
      </c>
      <c r="AL65" s="9" t="s">
        <v>1079</v>
      </c>
      <c r="AM65" s="9"/>
      <c r="AN65" s="9" t="s">
        <v>1080</v>
      </c>
      <c r="AO65" s="9"/>
      <c r="AP65" s="9" t="s">
        <v>139</v>
      </c>
      <c r="AQ65" s="9" t="s">
        <v>372</v>
      </c>
      <c r="AR65" t="b">
        <v>0</v>
      </c>
      <c r="AS65" s="10"/>
      <c r="AT65" s="10" t="s">
        <v>299</v>
      </c>
      <c r="AU65" s="9"/>
      <c r="AV65" t="b">
        <v>0</v>
      </c>
      <c r="AW65" s="12"/>
      <c r="AX65" s="11"/>
      <c r="AY65" s="9"/>
      <c r="AZ65" t="b">
        <v>0</v>
      </c>
      <c r="BA65" s="9"/>
      <c r="BB65" s="12"/>
      <c r="BC65" s="11"/>
      <c r="BD65" s="9" t="s">
        <v>325</v>
      </c>
      <c r="BE65" s="9" t="s">
        <v>47</v>
      </c>
      <c r="BF65" s="9" t="s">
        <v>702</v>
      </c>
      <c r="BG65" s="9" t="s">
        <v>416</v>
      </c>
      <c r="BH65" s="9" t="s">
        <v>304</v>
      </c>
      <c r="BI65" s="9" t="s">
        <v>638</v>
      </c>
      <c r="BJ65" s="9" t="s">
        <v>639</v>
      </c>
      <c r="BK65" s="11">
        <v>856</v>
      </c>
      <c r="BL65" s="16">
        <v>168.25129999999999</v>
      </c>
      <c r="BM65" s="10"/>
      <c r="BN65" s="10"/>
      <c r="BO65" s="10"/>
      <c r="BP65" s="16"/>
      <c r="BQ65" s="16"/>
      <c r="BR65" s="9"/>
      <c r="BS65" s="9"/>
      <c r="BT65" s="9"/>
      <c r="BU65" s="9"/>
      <c r="BV65" s="9"/>
      <c r="BW65" s="10"/>
      <c r="BX65" s="15" t="s">
        <v>1081</v>
      </c>
      <c r="BY65" s="10"/>
      <c r="BZ65" s="10"/>
      <c r="CA65" s="10"/>
      <c r="CB65" t="b">
        <v>0</v>
      </c>
      <c r="CC65" s="9" t="s">
        <v>308</v>
      </c>
      <c r="CD65" s="9" t="s">
        <v>309</v>
      </c>
    </row>
    <row r="66" spans="1:82" ht="29.1">
      <c r="A66" s="8">
        <v>94569</v>
      </c>
      <c r="B66" s="9" t="s">
        <v>533</v>
      </c>
      <c r="C66" s="9" t="s">
        <v>377</v>
      </c>
      <c r="D66" s="10">
        <v>45826</v>
      </c>
      <c r="E66" s="9" t="s">
        <v>534</v>
      </c>
      <c r="F66" s="9" t="s">
        <v>535</v>
      </c>
      <c r="G66" s="9" t="s">
        <v>536</v>
      </c>
      <c r="H66" s="9" t="s">
        <v>315</v>
      </c>
      <c r="I66" s="9" t="s">
        <v>282</v>
      </c>
      <c r="J66" s="9" t="s">
        <v>283</v>
      </c>
      <c r="K66" s="9" t="s">
        <v>284</v>
      </c>
      <c r="L66" s="9" t="s">
        <v>1082</v>
      </c>
      <c r="M66" s="9" t="s">
        <v>1083</v>
      </c>
      <c r="N66" s="8">
        <v>2</v>
      </c>
      <c r="O66" s="9" t="s">
        <v>1084</v>
      </c>
      <c r="P66" s="11">
        <v>499.59</v>
      </c>
      <c r="Q66" s="11">
        <v>470</v>
      </c>
      <c r="R66" s="11">
        <v>425.9</v>
      </c>
      <c r="S66" s="11">
        <v>1129.116</v>
      </c>
      <c r="T66" s="11">
        <v>564095.06244000001</v>
      </c>
      <c r="U66" s="12">
        <v>5.3999999999999999E-2</v>
      </c>
      <c r="V66" s="12">
        <v>0.86639999999999995</v>
      </c>
      <c r="W66" s="11">
        <v>1130.5999999999999</v>
      </c>
      <c r="X66" s="9" t="s">
        <v>288</v>
      </c>
      <c r="Y66" s="10">
        <v>44858</v>
      </c>
      <c r="Z66" s="13">
        <v>0.13109999999999999</v>
      </c>
      <c r="AB66" t="b">
        <v>0</v>
      </c>
      <c r="AC66" s="9" t="s">
        <v>289</v>
      </c>
      <c r="AD66" s="9" t="s">
        <v>290</v>
      </c>
      <c r="AE66" s="8">
        <v>2193.9229999999998</v>
      </c>
      <c r="AF66" s="14">
        <v>46.471179999999997</v>
      </c>
      <c r="AG66" s="14">
        <v>3.7797000000000001</v>
      </c>
      <c r="AH66" s="9" t="s">
        <v>291</v>
      </c>
      <c r="AI66" s="15" t="s">
        <v>1085</v>
      </c>
      <c r="AJ66" s="9" t="s">
        <v>293</v>
      </c>
      <c r="AK66" s="9" t="s">
        <v>540</v>
      </c>
      <c r="AL66" s="9" t="s">
        <v>541</v>
      </c>
      <c r="AM66" s="9"/>
      <c r="AN66" s="9" t="s">
        <v>542</v>
      </c>
      <c r="AO66" s="9"/>
      <c r="AP66" s="9" t="s">
        <v>68</v>
      </c>
      <c r="AQ66" s="9" t="s">
        <v>298</v>
      </c>
      <c r="AR66" t="b">
        <v>0</v>
      </c>
      <c r="AS66" s="10"/>
      <c r="AT66" s="10" t="s">
        <v>299</v>
      </c>
      <c r="AU66" s="9"/>
      <c r="AV66" t="b">
        <v>0</v>
      </c>
      <c r="AW66" s="12"/>
      <c r="AX66" s="11"/>
      <c r="AY66" s="9"/>
      <c r="AZ66" t="b">
        <v>0</v>
      </c>
      <c r="BA66" s="9"/>
      <c r="BB66" s="12"/>
      <c r="BC66" s="11"/>
      <c r="BD66" s="9" t="s">
        <v>300</v>
      </c>
      <c r="BE66" s="9" t="s">
        <v>301</v>
      </c>
      <c r="BF66" s="9" t="s">
        <v>356</v>
      </c>
      <c r="BG66" s="9" t="s">
        <v>303</v>
      </c>
      <c r="BH66" s="9" t="s">
        <v>304</v>
      </c>
      <c r="BI66" s="9" t="s">
        <v>386</v>
      </c>
      <c r="BJ66" s="9" t="s">
        <v>387</v>
      </c>
      <c r="BK66" s="11">
        <v>856</v>
      </c>
      <c r="BL66" s="16">
        <v>254.74952999999999</v>
      </c>
      <c r="BM66" s="10"/>
      <c r="BN66" s="10"/>
      <c r="BO66" s="10"/>
      <c r="BP66" s="16"/>
      <c r="BQ66" s="16"/>
      <c r="BR66" s="9" t="s">
        <v>1086</v>
      </c>
      <c r="BS66" s="9" t="s">
        <v>1087</v>
      </c>
      <c r="BT66" s="9" t="s">
        <v>1088</v>
      </c>
      <c r="BU66" s="9" t="s">
        <v>535</v>
      </c>
      <c r="BV66" s="9" t="s">
        <v>1089</v>
      </c>
      <c r="BW66" s="10"/>
      <c r="BX66" s="15" t="s">
        <v>1090</v>
      </c>
      <c r="BY66" s="10"/>
      <c r="BZ66" s="10"/>
      <c r="CA66" s="10"/>
      <c r="CB66" t="b">
        <v>0</v>
      </c>
      <c r="CC66" s="9" t="s">
        <v>308</v>
      </c>
      <c r="CD66" s="9" t="s">
        <v>309</v>
      </c>
    </row>
    <row r="67" spans="1:82">
      <c r="A67" s="8">
        <v>95992</v>
      </c>
      <c r="B67" s="9" t="s">
        <v>1091</v>
      </c>
      <c r="C67" s="9" t="s">
        <v>628</v>
      </c>
      <c r="D67" s="10">
        <v>45826</v>
      </c>
      <c r="E67" s="9" t="s">
        <v>1092</v>
      </c>
      <c r="F67" s="9" t="s">
        <v>1093</v>
      </c>
      <c r="G67" s="9" t="s">
        <v>1094</v>
      </c>
      <c r="H67" s="9" t="s">
        <v>281</v>
      </c>
      <c r="I67" s="9" t="s">
        <v>282</v>
      </c>
      <c r="J67" s="9" t="s">
        <v>283</v>
      </c>
      <c r="K67" s="9" t="s">
        <v>284</v>
      </c>
      <c r="L67" s="9" t="s">
        <v>1095</v>
      </c>
      <c r="M67" s="9" t="s">
        <v>1096</v>
      </c>
      <c r="N67" s="8">
        <v>1</v>
      </c>
      <c r="O67" s="9" t="s">
        <v>1097</v>
      </c>
      <c r="P67" s="11">
        <v>309.39999999999998</v>
      </c>
      <c r="Q67" s="11">
        <v>250</v>
      </c>
      <c r="R67" s="11">
        <v>249.9</v>
      </c>
      <c r="S67" s="11">
        <v>1226</v>
      </c>
      <c r="T67" s="11">
        <v>379324.4</v>
      </c>
      <c r="U67" s="12">
        <v>5.3999999999999999E-2</v>
      </c>
      <c r="V67" s="12">
        <v>0.87619999999999998</v>
      </c>
      <c r="W67" s="11">
        <v>1223.5999999999999</v>
      </c>
      <c r="X67" s="9" t="s">
        <v>288</v>
      </c>
      <c r="Y67" s="10">
        <v>44966</v>
      </c>
      <c r="Z67" s="13">
        <v>0.13120000000000001</v>
      </c>
      <c r="AB67" t="b">
        <v>0</v>
      </c>
      <c r="AC67" s="9" t="s">
        <v>289</v>
      </c>
      <c r="AD67" s="9" t="s">
        <v>290</v>
      </c>
      <c r="AE67" s="8">
        <v>1358.713</v>
      </c>
      <c r="AF67" s="14">
        <v>44.216790000000003</v>
      </c>
      <c r="AG67" s="14">
        <v>2.6334900000000001</v>
      </c>
      <c r="AH67" s="9" t="s">
        <v>524</v>
      </c>
      <c r="AI67" s="15" t="s">
        <v>396</v>
      </c>
      <c r="AJ67" s="9" t="s">
        <v>293</v>
      </c>
      <c r="AK67" s="9" t="s">
        <v>1098</v>
      </c>
      <c r="AL67" s="9" t="s">
        <v>1099</v>
      </c>
      <c r="AM67" s="9"/>
      <c r="AN67" s="9" t="s">
        <v>1100</v>
      </c>
      <c r="AO67" s="9"/>
      <c r="AP67" s="9" t="s">
        <v>323</v>
      </c>
      <c r="AQ67" s="9" t="s">
        <v>372</v>
      </c>
      <c r="AR67" t="b">
        <v>0</v>
      </c>
      <c r="AS67" s="10"/>
      <c r="AT67" s="10" t="s">
        <v>299</v>
      </c>
      <c r="AU67" s="9"/>
      <c r="AV67" t="b">
        <v>0</v>
      </c>
      <c r="AW67" s="12"/>
      <c r="AX67" s="11"/>
      <c r="AY67" s="9"/>
      <c r="AZ67" t="b">
        <v>0</v>
      </c>
      <c r="BA67" s="9"/>
      <c r="BB67" s="12"/>
      <c r="BC67" s="11"/>
      <c r="BD67" s="9" t="s">
        <v>325</v>
      </c>
      <c r="BE67" s="9" t="s">
        <v>47</v>
      </c>
      <c r="BF67" s="9" t="s">
        <v>356</v>
      </c>
      <c r="BG67" s="9" t="s">
        <v>416</v>
      </c>
      <c r="BH67" s="9" t="s">
        <v>304</v>
      </c>
      <c r="BI67" s="9" t="s">
        <v>638</v>
      </c>
      <c r="BJ67" s="9" t="s">
        <v>639</v>
      </c>
      <c r="BK67" s="11">
        <v>856</v>
      </c>
      <c r="BL67" s="16">
        <v>184.94980000000001</v>
      </c>
      <c r="BM67" s="10"/>
      <c r="BN67" s="10"/>
      <c r="BO67" s="10"/>
      <c r="BP67" s="16"/>
      <c r="BQ67" s="16"/>
      <c r="BR67" s="9"/>
      <c r="BS67" s="9"/>
      <c r="BT67" s="9"/>
      <c r="BU67" s="9"/>
      <c r="BV67" s="9"/>
      <c r="BW67" s="10"/>
      <c r="BX67" s="15" t="s">
        <v>492</v>
      </c>
      <c r="BY67" s="10"/>
      <c r="BZ67" s="10"/>
      <c r="CA67" s="10"/>
      <c r="CB67" t="b">
        <v>0</v>
      </c>
      <c r="CC67" s="9" t="s">
        <v>308</v>
      </c>
      <c r="CD67" s="9" t="s">
        <v>309</v>
      </c>
    </row>
    <row r="68" spans="1:82" ht="29.1">
      <c r="A68" s="8">
        <v>97469</v>
      </c>
      <c r="B68" s="9" t="s">
        <v>1101</v>
      </c>
      <c r="C68" s="9" t="s">
        <v>377</v>
      </c>
      <c r="D68" s="10">
        <v>45825</v>
      </c>
      <c r="E68" s="9" t="s">
        <v>1102</v>
      </c>
      <c r="F68" s="9" t="s">
        <v>1103</v>
      </c>
      <c r="G68" s="9" t="s">
        <v>1104</v>
      </c>
      <c r="H68" s="9" t="s">
        <v>281</v>
      </c>
      <c r="I68" s="9" t="s">
        <v>282</v>
      </c>
      <c r="J68" s="9" t="s">
        <v>283</v>
      </c>
      <c r="K68" s="9" t="s">
        <v>284</v>
      </c>
      <c r="L68" s="9" t="s">
        <v>1105</v>
      </c>
      <c r="M68" s="9" t="s">
        <v>1106</v>
      </c>
      <c r="N68" s="8">
        <v>1</v>
      </c>
      <c r="O68" s="9" t="s">
        <v>1107</v>
      </c>
      <c r="P68" s="11">
        <v>318.5</v>
      </c>
      <c r="Q68" s="11">
        <v>250</v>
      </c>
      <c r="R68" s="11">
        <v>249</v>
      </c>
      <c r="S68" s="11">
        <v>1214</v>
      </c>
      <c r="T68" s="11">
        <v>386659</v>
      </c>
      <c r="U68" s="12">
        <v>5.3999999999999999E-2</v>
      </c>
      <c r="V68" s="12">
        <v>0.87050000000000005</v>
      </c>
      <c r="W68" s="11">
        <v>1210.03</v>
      </c>
      <c r="X68" s="9" t="s">
        <v>288</v>
      </c>
      <c r="Y68" s="10">
        <v>45138</v>
      </c>
      <c r="Z68" s="13">
        <v>0.12740000000000001</v>
      </c>
      <c r="AB68" t="b">
        <v>0</v>
      </c>
      <c r="AC68" s="9" t="s">
        <v>289</v>
      </c>
      <c r="AD68" s="9" t="s">
        <v>290</v>
      </c>
      <c r="AE68" s="8">
        <v>1398.6759999999999</v>
      </c>
      <c r="AF68" s="14">
        <v>45.362960000000001</v>
      </c>
      <c r="AG68" s="14">
        <v>4.9798600000000004</v>
      </c>
      <c r="AH68" s="9" t="s">
        <v>291</v>
      </c>
      <c r="AI68" s="15" t="s">
        <v>396</v>
      </c>
      <c r="AJ68" s="9" t="s">
        <v>293</v>
      </c>
      <c r="AK68" s="9" t="s">
        <v>1108</v>
      </c>
      <c r="AL68" s="9" t="s">
        <v>1109</v>
      </c>
      <c r="AM68" s="9"/>
      <c r="AN68" s="9" t="s">
        <v>1110</v>
      </c>
      <c r="AO68" s="9"/>
      <c r="AP68" s="9" t="s">
        <v>68</v>
      </c>
      <c r="AQ68" s="9" t="s">
        <v>355</v>
      </c>
      <c r="AR68" t="b">
        <v>0</v>
      </c>
      <c r="AS68" s="10"/>
      <c r="AT68" s="10" t="s">
        <v>299</v>
      </c>
      <c r="AU68" s="9"/>
      <c r="AV68" t="b">
        <v>0</v>
      </c>
      <c r="AW68" s="12"/>
      <c r="AX68" s="11"/>
      <c r="AY68" s="9"/>
      <c r="AZ68" t="b">
        <v>0</v>
      </c>
      <c r="BA68" s="9"/>
      <c r="BB68" s="12"/>
      <c r="BC68" s="11"/>
      <c r="BD68" s="9" t="s">
        <v>300</v>
      </c>
      <c r="BE68" s="9" t="s">
        <v>301</v>
      </c>
      <c r="BF68" s="9" t="s">
        <v>1111</v>
      </c>
      <c r="BG68" s="9" t="s">
        <v>967</v>
      </c>
      <c r="BH68" s="9" t="s">
        <v>304</v>
      </c>
      <c r="BI68" s="9" t="s">
        <v>386</v>
      </c>
      <c r="BJ68" s="9" t="s">
        <v>387</v>
      </c>
      <c r="BK68" s="11">
        <v>856</v>
      </c>
      <c r="BL68" s="16">
        <v>188.2895</v>
      </c>
      <c r="BM68" s="10"/>
      <c r="BN68" s="10"/>
      <c r="BO68" s="10"/>
      <c r="BP68" s="16"/>
      <c r="BQ68" s="16"/>
      <c r="BR68" s="9"/>
      <c r="BS68" s="9"/>
      <c r="BT68" s="9"/>
      <c r="BU68" s="9"/>
      <c r="BV68" s="9"/>
      <c r="BW68" s="10"/>
      <c r="BX68" s="15" t="s">
        <v>1112</v>
      </c>
      <c r="BY68" s="10"/>
      <c r="BZ68" s="10"/>
      <c r="CA68" s="10"/>
      <c r="CB68" t="b">
        <v>0</v>
      </c>
      <c r="CC68" s="9" t="s">
        <v>308</v>
      </c>
      <c r="CD68" s="9" t="s">
        <v>309</v>
      </c>
    </row>
    <row r="69" spans="1:82">
      <c r="A69" s="8">
        <v>63567</v>
      </c>
      <c r="B69" s="9" t="s">
        <v>1113</v>
      </c>
      <c r="C69" s="9" t="s">
        <v>277</v>
      </c>
      <c r="D69" s="10">
        <v>45820</v>
      </c>
      <c r="E69" s="9" t="s">
        <v>1114</v>
      </c>
      <c r="F69" s="9" t="s">
        <v>1115</v>
      </c>
      <c r="G69" s="9" t="s">
        <v>1116</v>
      </c>
      <c r="H69" s="9" t="s">
        <v>281</v>
      </c>
      <c r="I69" s="9" t="s">
        <v>282</v>
      </c>
      <c r="J69" s="9" t="s">
        <v>283</v>
      </c>
      <c r="K69" s="9" t="s">
        <v>284</v>
      </c>
      <c r="L69" s="9" t="s">
        <v>1117</v>
      </c>
      <c r="M69" s="9" t="s">
        <v>1118</v>
      </c>
      <c r="N69" s="8">
        <v>1</v>
      </c>
      <c r="O69" s="9" t="s">
        <v>1119</v>
      </c>
      <c r="P69" s="11">
        <v>227.04499999999999</v>
      </c>
      <c r="Q69" s="11">
        <v>220</v>
      </c>
      <c r="R69" s="11">
        <v>181</v>
      </c>
      <c r="S69" s="11">
        <v>1250</v>
      </c>
      <c r="T69" s="11">
        <v>283806.25</v>
      </c>
      <c r="U69" s="12">
        <v>5.3999999999999999E-2</v>
      </c>
      <c r="V69" s="12">
        <v>0.874</v>
      </c>
      <c r="W69" s="11">
        <v>1235.2</v>
      </c>
      <c r="X69" s="9" t="s">
        <v>288</v>
      </c>
      <c r="Y69" s="10">
        <v>45044</v>
      </c>
      <c r="Z69" s="13">
        <v>0.13120000000000001</v>
      </c>
      <c r="AB69" t="b">
        <v>0</v>
      </c>
      <c r="AC69" s="9" t="s">
        <v>289</v>
      </c>
      <c r="AD69" s="9" t="s">
        <v>290</v>
      </c>
      <c r="AE69" s="8">
        <v>997.05600000000004</v>
      </c>
      <c r="AF69" s="14">
        <v>45.53069</v>
      </c>
      <c r="AG69" s="14">
        <v>-0.437</v>
      </c>
      <c r="AH69" s="9" t="s">
        <v>291</v>
      </c>
      <c r="AI69" s="15" t="s">
        <v>396</v>
      </c>
      <c r="AJ69" s="9" t="s">
        <v>293</v>
      </c>
      <c r="AK69" s="9" t="s">
        <v>1120</v>
      </c>
      <c r="AL69" s="9" t="s">
        <v>1121</v>
      </c>
      <c r="AM69" s="9"/>
      <c r="AN69" s="9" t="s">
        <v>1122</v>
      </c>
      <c r="AO69" s="9"/>
      <c r="AP69" s="9" t="s">
        <v>68</v>
      </c>
      <c r="AQ69" s="9" t="s">
        <v>372</v>
      </c>
      <c r="AR69" t="b">
        <v>0</v>
      </c>
      <c r="AS69" s="10"/>
      <c r="AT69" s="10" t="s">
        <v>299</v>
      </c>
      <c r="AU69" s="9"/>
      <c r="AV69" t="b">
        <v>0</v>
      </c>
      <c r="AW69" s="12"/>
      <c r="AX69" s="11"/>
      <c r="AY69" s="9"/>
      <c r="AZ69" t="b">
        <v>0</v>
      </c>
      <c r="BA69" s="9"/>
      <c r="BB69" s="12"/>
      <c r="BC69" s="11"/>
      <c r="BD69" s="9" t="s">
        <v>325</v>
      </c>
      <c r="BE69" s="9" t="s">
        <v>301</v>
      </c>
      <c r="BF69" s="9" t="s">
        <v>302</v>
      </c>
      <c r="BG69" s="9" t="s">
        <v>529</v>
      </c>
      <c r="BH69" s="9" t="s">
        <v>304</v>
      </c>
      <c r="BI69" s="9" t="s">
        <v>305</v>
      </c>
      <c r="BJ69" s="9" t="s">
        <v>306</v>
      </c>
      <c r="BK69" s="11">
        <v>856</v>
      </c>
      <c r="BL69" s="16">
        <v>154.725515</v>
      </c>
      <c r="BM69" s="10"/>
      <c r="BN69" s="10"/>
      <c r="BO69" s="10"/>
      <c r="BP69" s="16"/>
      <c r="BQ69" s="16"/>
      <c r="BR69" s="9" t="s">
        <v>1123</v>
      </c>
      <c r="BS69" s="9" t="s">
        <v>1124</v>
      </c>
      <c r="BT69" s="9" t="s">
        <v>1125</v>
      </c>
      <c r="BU69" s="9" t="s">
        <v>1115</v>
      </c>
      <c r="BV69" s="9"/>
      <c r="BW69" s="10"/>
      <c r="BX69" s="15" t="s">
        <v>1126</v>
      </c>
      <c r="BY69" s="10"/>
      <c r="BZ69" s="10"/>
      <c r="CA69" s="10"/>
      <c r="CB69" t="b">
        <v>0</v>
      </c>
      <c r="CC69" s="9" t="s">
        <v>308</v>
      </c>
      <c r="CD69" s="9" t="s">
        <v>309</v>
      </c>
    </row>
    <row r="70" spans="1:82" ht="29.1">
      <c r="A70" s="8">
        <v>58966</v>
      </c>
      <c r="B70" s="9" t="s">
        <v>1127</v>
      </c>
      <c r="C70" s="9" t="s">
        <v>970</v>
      </c>
      <c r="D70" s="10">
        <v>45819</v>
      </c>
      <c r="E70" s="9" t="s">
        <v>1128</v>
      </c>
      <c r="F70" s="9" t="s">
        <v>1129</v>
      </c>
      <c r="G70" s="9" t="s">
        <v>1130</v>
      </c>
      <c r="H70" s="9" t="s">
        <v>315</v>
      </c>
      <c r="I70" s="9" t="s">
        <v>282</v>
      </c>
      <c r="J70" s="9" t="s">
        <v>603</v>
      </c>
      <c r="K70" s="9" t="s">
        <v>284</v>
      </c>
      <c r="L70" s="9" t="s">
        <v>1131</v>
      </c>
      <c r="M70" s="9" t="s">
        <v>1132</v>
      </c>
      <c r="N70" s="8">
        <v>1</v>
      </c>
      <c r="O70" s="9" t="s">
        <v>1133</v>
      </c>
      <c r="P70" s="11">
        <v>334.42500000000001</v>
      </c>
      <c r="Q70" s="11">
        <v>250</v>
      </c>
      <c r="R70" s="11">
        <v>214.7</v>
      </c>
      <c r="S70" s="11">
        <v>1120</v>
      </c>
      <c r="T70" s="11">
        <v>374556</v>
      </c>
      <c r="U70" s="12">
        <v>5.3999999999999999E-2</v>
      </c>
      <c r="V70" s="12">
        <v>0.85099999999999998</v>
      </c>
      <c r="W70" s="11">
        <v>1101.5999999999999</v>
      </c>
      <c r="X70" s="9" t="s">
        <v>288</v>
      </c>
      <c r="Y70" s="10">
        <v>44957</v>
      </c>
      <c r="Z70" s="13">
        <v>0.13120000000000001</v>
      </c>
      <c r="AB70" t="b">
        <v>0</v>
      </c>
      <c r="AC70" s="9" t="s">
        <v>289</v>
      </c>
      <c r="AD70" s="9" t="s">
        <v>290</v>
      </c>
      <c r="AE70" s="8">
        <v>1468.6089999999999</v>
      </c>
      <c r="AF70" s="14">
        <v>44.089570000000002</v>
      </c>
      <c r="AG70" s="14">
        <v>0.97191000000000005</v>
      </c>
      <c r="AH70" s="9" t="s">
        <v>483</v>
      </c>
      <c r="AI70" s="15" t="s">
        <v>1134</v>
      </c>
      <c r="AJ70" s="9" t="s">
        <v>293</v>
      </c>
      <c r="AK70" s="9" t="s">
        <v>1135</v>
      </c>
      <c r="AL70" s="9" t="s">
        <v>1136</v>
      </c>
      <c r="AM70" s="9"/>
      <c r="AN70" s="9" t="s">
        <v>1137</v>
      </c>
      <c r="AO70" s="9"/>
      <c r="AP70" s="9" t="s">
        <v>371</v>
      </c>
      <c r="AQ70" s="9" t="s">
        <v>1138</v>
      </c>
      <c r="AR70" t="b">
        <v>1</v>
      </c>
      <c r="AS70" s="10">
        <v>46022</v>
      </c>
      <c r="AT70" s="10">
        <v>46022</v>
      </c>
      <c r="AU70" s="9" t="s">
        <v>1139</v>
      </c>
      <c r="AV70" t="b">
        <v>0</v>
      </c>
      <c r="AW70" s="12"/>
      <c r="AX70" s="11">
        <v>3784</v>
      </c>
      <c r="AY70" s="9" t="s">
        <v>471</v>
      </c>
      <c r="AZ70" t="b">
        <v>1</v>
      </c>
      <c r="BA70" s="9" t="s">
        <v>472</v>
      </c>
      <c r="BB70" s="12"/>
      <c r="BC70" s="11">
        <v>3784</v>
      </c>
      <c r="BD70" s="9" t="s">
        <v>325</v>
      </c>
      <c r="BE70" s="9" t="s">
        <v>301</v>
      </c>
      <c r="BF70" s="9" t="s">
        <v>302</v>
      </c>
      <c r="BG70" s="9" t="s">
        <v>749</v>
      </c>
      <c r="BH70" s="9" t="s">
        <v>304</v>
      </c>
      <c r="BI70" s="9" t="s">
        <v>981</v>
      </c>
      <c r="BJ70" s="9" t="s">
        <v>982</v>
      </c>
      <c r="BK70" s="11">
        <v>856</v>
      </c>
      <c r="BL70" s="16">
        <v>187.83397500000001</v>
      </c>
      <c r="BM70" s="10">
        <v>45843</v>
      </c>
      <c r="BN70" s="10">
        <v>45926</v>
      </c>
      <c r="BO70" s="10"/>
      <c r="BP70" s="16"/>
      <c r="BQ70" s="16"/>
      <c r="BR70" s="9" t="s">
        <v>1140</v>
      </c>
      <c r="BS70" s="9" t="s">
        <v>1141</v>
      </c>
      <c r="BT70" s="9" t="s">
        <v>1142</v>
      </c>
      <c r="BU70" s="9" t="s">
        <v>1129</v>
      </c>
      <c r="BV70" s="9"/>
      <c r="BW70" s="10"/>
      <c r="BX70" s="15" t="s">
        <v>1143</v>
      </c>
      <c r="BY70" s="10"/>
      <c r="BZ70" s="10"/>
      <c r="CA70" s="10"/>
      <c r="CB70" t="b">
        <v>0</v>
      </c>
      <c r="CC70" s="9" t="s">
        <v>308</v>
      </c>
      <c r="CD70" s="9" t="s">
        <v>309</v>
      </c>
    </row>
    <row r="71" spans="1:82" ht="57.95">
      <c r="A71" s="8">
        <v>89744</v>
      </c>
      <c r="B71" s="9" t="s">
        <v>1144</v>
      </c>
      <c r="C71" s="9" t="s">
        <v>628</v>
      </c>
      <c r="D71" s="10">
        <v>45818</v>
      </c>
      <c r="E71" s="9" t="s">
        <v>1145</v>
      </c>
      <c r="F71" s="9" t="s">
        <v>1146</v>
      </c>
      <c r="G71" s="9" t="s">
        <v>1147</v>
      </c>
      <c r="H71" s="9" t="s">
        <v>281</v>
      </c>
      <c r="I71" s="9" t="s">
        <v>282</v>
      </c>
      <c r="J71" s="9" t="s">
        <v>283</v>
      </c>
      <c r="K71" s="9" t="s">
        <v>284</v>
      </c>
      <c r="L71" s="9" t="s">
        <v>1148</v>
      </c>
      <c r="M71" s="9" t="s">
        <v>1149</v>
      </c>
      <c r="N71" s="8">
        <v>2</v>
      </c>
      <c r="O71" s="9" t="s">
        <v>1150</v>
      </c>
      <c r="P71" s="11">
        <v>378.56</v>
      </c>
      <c r="Q71" s="11">
        <v>330</v>
      </c>
      <c r="R71" s="11">
        <v>330</v>
      </c>
      <c r="S71" s="11">
        <v>1174.2260000000001</v>
      </c>
      <c r="T71" s="11">
        <v>444514.99456000002</v>
      </c>
      <c r="U71" s="12">
        <v>5.3999999999999999E-2</v>
      </c>
      <c r="V71" s="12">
        <v>0.86990000000000001</v>
      </c>
      <c r="W71" s="11">
        <v>1124.5899999999999</v>
      </c>
      <c r="X71" s="9" t="s">
        <v>288</v>
      </c>
      <c r="Y71" s="10">
        <v>45042</v>
      </c>
      <c r="Z71" s="13">
        <v>0.1313</v>
      </c>
      <c r="AB71" t="b">
        <v>0</v>
      </c>
      <c r="AC71" s="9" t="s">
        <v>289</v>
      </c>
      <c r="AD71" s="9" t="s">
        <v>290</v>
      </c>
      <c r="AE71" s="8">
        <v>1662.4259999999999</v>
      </c>
      <c r="AF71" s="14">
        <v>45.446629999999999</v>
      </c>
      <c r="AG71" s="14">
        <v>-0.54257</v>
      </c>
      <c r="AH71" s="9" t="s">
        <v>524</v>
      </c>
      <c r="AI71" s="15" t="s">
        <v>1151</v>
      </c>
      <c r="AJ71" s="9" t="s">
        <v>293</v>
      </c>
      <c r="AK71" s="9" t="s">
        <v>1152</v>
      </c>
      <c r="AL71" s="9" t="s">
        <v>1153</v>
      </c>
      <c r="AM71" s="9"/>
      <c r="AN71" s="9" t="s">
        <v>1154</v>
      </c>
      <c r="AO71" s="9"/>
      <c r="AP71" s="9" t="s">
        <v>144</v>
      </c>
      <c r="AQ71" s="9" t="s">
        <v>298</v>
      </c>
      <c r="AR71" t="b">
        <v>0</v>
      </c>
      <c r="AS71" s="10"/>
      <c r="AT71" s="10" t="s">
        <v>299</v>
      </c>
      <c r="AU71" s="9"/>
      <c r="AV71" t="b">
        <v>0</v>
      </c>
      <c r="AW71" s="12"/>
      <c r="AX71" s="11"/>
      <c r="AY71" s="9"/>
      <c r="AZ71" t="b">
        <v>0</v>
      </c>
      <c r="BA71" s="9"/>
      <c r="BB71" s="12"/>
      <c r="BC71" s="11"/>
      <c r="BD71" s="9" t="s">
        <v>325</v>
      </c>
      <c r="BE71" s="9" t="s">
        <v>47</v>
      </c>
      <c r="BF71" s="9" t="s">
        <v>402</v>
      </c>
      <c r="BG71" s="9" t="s">
        <v>529</v>
      </c>
      <c r="BH71" s="9" t="s">
        <v>304</v>
      </c>
      <c r="BI71" s="9" t="s">
        <v>638</v>
      </c>
      <c r="BJ71" s="9" t="s">
        <v>639</v>
      </c>
      <c r="BK71" s="11">
        <v>856</v>
      </c>
      <c r="BL71" s="16">
        <v>210.33152000000001</v>
      </c>
      <c r="BM71" s="10"/>
      <c r="BN71" s="10"/>
      <c r="BO71" s="10"/>
      <c r="BP71" s="16"/>
      <c r="BQ71" s="16"/>
      <c r="BR71" s="9"/>
      <c r="BS71" s="9"/>
      <c r="BT71" s="9"/>
      <c r="BU71" s="9"/>
      <c r="BV71" s="9"/>
      <c r="BW71" s="10"/>
      <c r="BX71" s="15" t="s">
        <v>1155</v>
      </c>
      <c r="BY71" s="10"/>
      <c r="BZ71" s="10"/>
      <c r="CA71" s="10"/>
      <c r="CB71" t="b">
        <v>0</v>
      </c>
      <c r="CC71" s="9" t="s">
        <v>308</v>
      </c>
      <c r="CD71" s="9" t="s">
        <v>309</v>
      </c>
    </row>
    <row r="72" spans="1:82">
      <c r="A72" s="8">
        <v>90034</v>
      </c>
      <c r="B72" s="9" t="s">
        <v>1156</v>
      </c>
      <c r="C72" s="9" t="s">
        <v>628</v>
      </c>
      <c r="D72" s="10">
        <v>45812</v>
      </c>
      <c r="E72" s="9" t="s">
        <v>1157</v>
      </c>
      <c r="F72" s="9" t="s">
        <v>1158</v>
      </c>
      <c r="G72" s="9" t="s">
        <v>1159</v>
      </c>
      <c r="H72" s="9" t="s">
        <v>281</v>
      </c>
      <c r="I72" s="9" t="s">
        <v>282</v>
      </c>
      <c r="J72" s="9" t="s">
        <v>283</v>
      </c>
      <c r="K72" s="9" t="s">
        <v>284</v>
      </c>
      <c r="L72" s="9" t="s">
        <v>1160</v>
      </c>
      <c r="M72" s="9" t="s">
        <v>1161</v>
      </c>
      <c r="N72" s="8">
        <v>1</v>
      </c>
      <c r="O72" s="9" t="s">
        <v>1162</v>
      </c>
      <c r="P72" s="11">
        <v>218.4</v>
      </c>
      <c r="Q72" s="11">
        <v>150</v>
      </c>
      <c r="R72" s="11">
        <v>172.9</v>
      </c>
      <c r="S72" s="11">
        <v>1075</v>
      </c>
      <c r="T72" s="11">
        <v>234780</v>
      </c>
      <c r="U72" s="12">
        <v>5.3999999999999999E-2</v>
      </c>
      <c r="V72" s="12">
        <v>0.87829999999999997</v>
      </c>
      <c r="W72" s="11">
        <v>1103.57</v>
      </c>
      <c r="X72" s="9" t="s">
        <v>288</v>
      </c>
      <c r="Y72" s="10">
        <v>45016</v>
      </c>
      <c r="Z72" s="13">
        <v>0.13120000000000001</v>
      </c>
      <c r="AB72" t="b">
        <v>0</v>
      </c>
      <c r="AC72" s="9" t="s">
        <v>289</v>
      </c>
      <c r="AD72" s="9" t="s">
        <v>290</v>
      </c>
      <c r="AE72" s="8">
        <v>959.09199999999998</v>
      </c>
      <c r="AF72" s="14">
        <v>46.231630000000003</v>
      </c>
      <c r="AG72" s="14">
        <v>1.5277499999999999</v>
      </c>
      <c r="AH72" s="9" t="s">
        <v>524</v>
      </c>
      <c r="AI72" s="15" t="s">
        <v>396</v>
      </c>
      <c r="AJ72" s="9" t="s">
        <v>293</v>
      </c>
      <c r="AK72" s="9" t="s">
        <v>1163</v>
      </c>
      <c r="AL72" s="9" t="s">
        <v>1164</v>
      </c>
      <c r="AM72" s="9"/>
      <c r="AN72" s="9" t="s">
        <v>1165</v>
      </c>
      <c r="AO72" s="9"/>
      <c r="AP72" s="9" t="s">
        <v>144</v>
      </c>
      <c r="AQ72" s="9" t="s">
        <v>298</v>
      </c>
      <c r="AR72" t="b">
        <v>0</v>
      </c>
      <c r="AS72" s="10"/>
      <c r="AT72" s="10" t="s">
        <v>299</v>
      </c>
      <c r="AU72" s="9"/>
      <c r="AV72" t="b">
        <v>0</v>
      </c>
      <c r="AW72" s="12"/>
      <c r="AX72" s="11"/>
      <c r="AY72" s="9"/>
      <c r="AZ72" t="b">
        <v>0</v>
      </c>
      <c r="BA72" s="9"/>
      <c r="BB72" s="12"/>
      <c r="BC72" s="11"/>
      <c r="BD72" s="9" t="s">
        <v>325</v>
      </c>
      <c r="BE72" s="9" t="s">
        <v>47</v>
      </c>
      <c r="BF72" s="9" t="s">
        <v>702</v>
      </c>
      <c r="BG72" s="9" t="s">
        <v>327</v>
      </c>
      <c r="BH72" s="9" t="s">
        <v>304</v>
      </c>
      <c r="BI72" s="9" t="s">
        <v>638</v>
      </c>
      <c r="BJ72" s="9" t="s">
        <v>639</v>
      </c>
      <c r="BK72" s="11">
        <v>856</v>
      </c>
      <c r="BL72" s="16">
        <v>151.55279999999999</v>
      </c>
      <c r="BM72" s="10"/>
      <c r="BN72" s="10"/>
      <c r="BO72" s="10"/>
      <c r="BP72" s="16"/>
      <c r="BQ72" s="16"/>
      <c r="BR72" s="9"/>
      <c r="BS72" s="9"/>
      <c r="BT72" s="9"/>
      <c r="BU72" s="9"/>
      <c r="BV72" s="9"/>
      <c r="BW72" s="10"/>
      <c r="BX72" s="15" t="s">
        <v>1166</v>
      </c>
      <c r="BY72" s="10"/>
      <c r="BZ72" s="10"/>
      <c r="CA72" s="10"/>
      <c r="CB72" t="b">
        <v>0</v>
      </c>
      <c r="CC72" s="9" t="s">
        <v>308</v>
      </c>
      <c r="CD72" s="9" t="s">
        <v>309</v>
      </c>
    </row>
    <row r="73" spans="1:82">
      <c r="A73" s="8">
        <v>86550</v>
      </c>
      <c r="B73" s="9" t="s">
        <v>1156</v>
      </c>
      <c r="C73" s="9" t="s">
        <v>628</v>
      </c>
      <c r="D73" s="10">
        <v>45812</v>
      </c>
      <c r="E73" s="9" t="s">
        <v>1167</v>
      </c>
      <c r="F73" s="9" t="s">
        <v>1168</v>
      </c>
      <c r="G73" s="9" t="s">
        <v>1169</v>
      </c>
      <c r="H73" s="9" t="s">
        <v>281</v>
      </c>
      <c r="I73" s="9" t="s">
        <v>282</v>
      </c>
      <c r="J73" s="9" t="s">
        <v>283</v>
      </c>
      <c r="K73" s="9" t="s">
        <v>284</v>
      </c>
      <c r="L73" s="9" t="s">
        <v>1170</v>
      </c>
      <c r="M73" s="9" t="s">
        <v>1171</v>
      </c>
      <c r="N73" s="8">
        <v>2</v>
      </c>
      <c r="O73" s="9" t="s">
        <v>1172</v>
      </c>
      <c r="P73" s="11">
        <v>499.59</v>
      </c>
      <c r="Q73" s="11">
        <v>440</v>
      </c>
      <c r="R73" s="11">
        <v>416.6</v>
      </c>
      <c r="S73" s="11">
        <v>1081.3499999999999</v>
      </c>
      <c r="T73" s="11">
        <v>540231.64650000003</v>
      </c>
      <c r="U73" s="12">
        <v>5.3999999999999999E-2</v>
      </c>
      <c r="V73" s="12">
        <v>0.87829999999999997</v>
      </c>
      <c r="W73" s="11">
        <v>1104.03</v>
      </c>
      <c r="X73" s="9" t="s">
        <v>288</v>
      </c>
      <c r="Y73" s="10">
        <v>45042</v>
      </c>
      <c r="Z73" s="13">
        <v>0.12740000000000001</v>
      </c>
      <c r="AB73" t="b">
        <v>0</v>
      </c>
      <c r="AC73" s="9" t="s">
        <v>289</v>
      </c>
      <c r="AD73" s="9" t="s">
        <v>290</v>
      </c>
      <c r="AE73" s="8">
        <v>2193.9229999999998</v>
      </c>
      <c r="AF73" s="14">
        <v>46.218299999999999</v>
      </c>
      <c r="AG73" s="14">
        <v>1.65147</v>
      </c>
      <c r="AH73" s="9" t="s">
        <v>524</v>
      </c>
      <c r="AI73" s="15" t="s">
        <v>1173</v>
      </c>
      <c r="AJ73" s="9" t="s">
        <v>293</v>
      </c>
      <c r="AK73" s="9" t="s">
        <v>1163</v>
      </c>
      <c r="AL73" s="9" t="s">
        <v>1164</v>
      </c>
      <c r="AM73" s="9"/>
      <c r="AN73" s="9" t="s">
        <v>1165</v>
      </c>
      <c r="AO73" s="9"/>
      <c r="AP73" s="9" t="s">
        <v>144</v>
      </c>
      <c r="AQ73" s="9" t="s">
        <v>355</v>
      </c>
      <c r="AR73" t="b">
        <v>0</v>
      </c>
      <c r="AS73" s="10"/>
      <c r="AT73" s="10" t="s">
        <v>299</v>
      </c>
      <c r="AU73" s="9"/>
      <c r="AV73" t="b">
        <v>0</v>
      </c>
      <c r="AW73" s="12"/>
      <c r="AX73" s="11"/>
      <c r="AY73" s="9"/>
      <c r="AZ73" t="b">
        <v>0</v>
      </c>
      <c r="BA73" s="9"/>
      <c r="BB73" s="12"/>
      <c r="BC73" s="11"/>
      <c r="BD73" s="9" t="s">
        <v>325</v>
      </c>
      <c r="BE73" s="9" t="s">
        <v>47</v>
      </c>
      <c r="BF73" s="9" t="s">
        <v>702</v>
      </c>
      <c r="BG73" s="9" t="s">
        <v>327</v>
      </c>
      <c r="BH73" s="9" t="s">
        <v>304</v>
      </c>
      <c r="BI73" s="9" t="s">
        <v>638</v>
      </c>
      <c r="BJ73" s="9" t="s">
        <v>639</v>
      </c>
      <c r="BK73" s="11">
        <v>856</v>
      </c>
      <c r="BL73" s="16">
        <v>254.74952999999999</v>
      </c>
      <c r="BM73" s="10"/>
      <c r="BN73" s="10"/>
      <c r="BO73" s="10"/>
      <c r="BP73" s="16"/>
      <c r="BQ73" s="16"/>
      <c r="BR73" s="9"/>
      <c r="BS73" s="9"/>
      <c r="BT73" s="9"/>
      <c r="BU73" s="9"/>
      <c r="BV73" s="9"/>
      <c r="BW73" s="10"/>
      <c r="BX73" s="15" t="s">
        <v>1174</v>
      </c>
      <c r="BY73" s="10"/>
      <c r="BZ73" s="10"/>
      <c r="CA73" s="10"/>
      <c r="CB73" t="b">
        <v>0</v>
      </c>
      <c r="CC73" s="9" t="s">
        <v>308</v>
      </c>
      <c r="CD73" s="9" t="s">
        <v>309</v>
      </c>
    </row>
    <row r="74" spans="1:82">
      <c r="A74" s="8">
        <v>99917</v>
      </c>
      <c r="B74" s="9" t="s">
        <v>1175</v>
      </c>
      <c r="C74" s="9" t="s">
        <v>517</v>
      </c>
      <c r="D74" s="10">
        <v>45805</v>
      </c>
      <c r="E74" s="9" t="s">
        <v>1176</v>
      </c>
      <c r="F74" s="9" t="s">
        <v>1177</v>
      </c>
      <c r="G74" s="9" t="s">
        <v>1178</v>
      </c>
      <c r="H74" s="9" t="s">
        <v>281</v>
      </c>
      <c r="I74" s="9" t="s">
        <v>282</v>
      </c>
      <c r="J74" s="9" t="s">
        <v>283</v>
      </c>
      <c r="K74" s="9" t="s">
        <v>284</v>
      </c>
      <c r="L74" s="9" t="s">
        <v>1179</v>
      </c>
      <c r="M74" s="9" t="s">
        <v>1180</v>
      </c>
      <c r="N74" s="8">
        <v>1</v>
      </c>
      <c r="O74" s="9" t="s">
        <v>1181</v>
      </c>
      <c r="P74" s="11">
        <v>277.09500000000003</v>
      </c>
      <c r="Q74" s="11">
        <v>250</v>
      </c>
      <c r="R74" s="11">
        <v>224</v>
      </c>
      <c r="S74" s="11">
        <v>1286</v>
      </c>
      <c r="T74" s="11">
        <v>356344.17</v>
      </c>
      <c r="U74" s="12">
        <v>5.3999999999999999E-2</v>
      </c>
      <c r="V74" s="12">
        <v>0.86899999999999999</v>
      </c>
      <c r="W74" s="11">
        <v>1243.5</v>
      </c>
      <c r="X74" s="9" t="s">
        <v>288</v>
      </c>
      <c r="Y74" s="10">
        <v>45315</v>
      </c>
      <c r="Z74" s="13">
        <v>0.12089999999999999</v>
      </c>
      <c r="AB74" t="b">
        <v>0</v>
      </c>
      <c r="AC74" s="9" t="s">
        <v>289</v>
      </c>
      <c r="AD74" s="9" t="s">
        <v>290</v>
      </c>
      <c r="AE74" s="8">
        <v>1216.848</v>
      </c>
      <c r="AF74" s="14">
        <v>46.028590000000001</v>
      </c>
      <c r="AG74" s="14">
        <v>4.7729499999999998</v>
      </c>
      <c r="AH74" s="9" t="s">
        <v>524</v>
      </c>
      <c r="AI74" s="15" t="s">
        <v>396</v>
      </c>
      <c r="AJ74" s="9" t="s">
        <v>293</v>
      </c>
      <c r="AK74" s="9" t="s">
        <v>1182</v>
      </c>
      <c r="AL74" s="9" t="s">
        <v>1183</v>
      </c>
      <c r="AM74" s="9"/>
      <c r="AN74" s="9" t="s">
        <v>1184</v>
      </c>
      <c r="AO74" s="9"/>
      <c r="AP74" s="9" t="s">
        <v>113</v>
      </c>
      <c r="AQ74" s="9" t="s">
        <v>1185</v>
      </c>
      <c r="AR74" t="b">
        <v>0</v>
      </c>
      <c r="AS74" s="10"/>
      <c r="AT74" s="10" t="s">
        <v>299</v>
      </c>
      <c r="AU74" s="9"/>
      <c r="AV74" t="b">
        <v>0</v>
      </c>
      <c r="AW74" s="12"/>
      <c r="AX74" s="11"/>
      <c r="AY74" s="9"/>
      <c r="AZ74" t="b">
        <v>0</v>
      </c>
      <c r="BA74" s="9"/>
      <c r="BB74" s="12"/>
      <c r="BC74" s="11"/>
      <c r="BD74" s="9" t="s">
        <v>300</v>
      </c>
      <c r="BE74" s="9" t="s">
        <v>47</v>
      </c>
      <c r="BF74" s="9" t="s">
        <v>1111</v>
      </c>
      <c r="BG74" s="9" t="s">
        <v>303</v>
      </c>
      <c r="BH74" s="9" t="s">
        <v>304</v>
      </c>
      <c r="BI74" s="9" t="s">
        <v>530</v>
      </c>
      <c r="BJ74" s="9" t="s">
        <v>531</v>
      </c>
      <c r="BK74" s="11">
        <v>856</v>
      </c>
      <c r="BL74" s="16">
        <v>173.09386499999999</v>
      </c>
      <c r="BM74" s="10"/>
      <c r="BN74" s="10"/>
      <c r="BO74" s="10"/>
      <c r="BP74" s="16"/>
      <c r="BQ74" s="16"/>
      <c r="BR74" s="9"/>
      <c r="BS74" s="9"/>
      <c r="BT74" s="9"/>
      <c r="BU74" s="9"/>
      <c r="BV74" s="9"/>
      <c r="BW74" s="10"/>
      <c r="BX74" s="15" t="s">
        <v>307</v>
      </c>
      <c r="BY74" s="10"/>
      <c r="BZ74" s="10"/>
      <c r="CA74" s="10"/>
      <c r="CB74" t="b">
        <v>0</v>
      </c>
      <c r="CC74" s="9" t="s">
        <v>308</v>
      </c>
      <c r="CD74" s="9" t="s">
        <v>309</v>
      </c>
    </row>
    <row r="75" spans="1:82">
      <c r="A75" s="8">
        <v>89610</v>
      </c>
      <c r="B75" s="9" t="s">
        <v>1186</v>
      </c>
      <c r="C75" s="9" t="s">
        <v>628</v>
      </c>
      <c r="D75" s="10">
        <v>45804</v>
      </c>
      <c r="E75" s="9" t="s">
        <v>1187</v>
      </c>
      <c r="F75" s="9" t="s">
        <v>1188</v>
      </c>
      <c r="G75" s="9" t="s">
        <v>1189</v>
      </c>
      <c r="H75" s="9" t="s">
        <v>281</v>
      </c>
      <c r="I75" s="9" t="s">
        <v>282</v>
      </c>
      <c r="J75" s="9" t="s">
        <v>283</v>
      </c>
      <c r="K75" s="9" t="s">
        <v>284</v>
      </c>
      <c r="L75" s="9" t="s">
        <v>1190</v>
      </c>
      <c r="M75" s="9" t="s">
        <v>1191</v>
      </c>
      <c r="N75" s="8">
        <v>1</v>
      </c>
      <c r="O75" s="9" t="s">
        <v>1192</v>
      </c>
      <c r="P75" s="11">
        <v>309.39999999999998</v>
      </c>
      <c r="Q75" s="11">
        <v>253</v>
      </c>
      <c r="R75" s="11">
        <v>250</v>
      </c>
      <c r="S75" s="11">
        <v>1195</v>
      </c>
      <c r="T75" s="11">
        <v>369733</v>
      </c>
      <c r="U75" s="12">
        <v>5.3999999999999999E-2</v>
      </c>
      <c r="V75" s="12">
        <v>0.87160000000000004</v>
      </c>
      <c r="W75" s="11">
        <v>1191</v>
      </c>
      <c r="X75" s="9" t="s">
        <v>288</v>
      </c>
      <c r="Y75" s="10">
        <v>45114</v>
      </c>
      <c r="Z75" s="13">
        <v>0.12740000000000001</v>
      </c>
      <c r="AB75" t="b">
        <v>0</v>
      </c>
      <c r="AC75" s="9" t="s">
        <v>289</v>
      </c>
      <c r="AD75" s="9" t="s">
        <v>290</v>
      </c>
      <c r="AE75" s="8">
        <v>1358.7</v>
      </c>
      <c r="AF75" s="14">
        <v>43.918059999999997</v>
      </c>
      <c r="AG75" s="14">
        <v>2.56148</v>
      </c>
      <c r="AH75" s="9" t="s">
        <v>524</v>
      </c>
      <c r="AI75" s="15" t="s">
        <v>319</v>
      </c>
      <c r="AJ75" s="9" t="s">
        <v>293</v>
      </c>
      <c r="AK75" s="9" t="s">
        <v>1193</v>
      </c>
      <c r="AL75" s="9" t="s">
        <v>1194</v>
      </c>
      <c r="AM75" s="9"/>
      <c r="AN75" s="9" t="s">
        <v>1195</v>
      </c>
      <c r="AO75" s="9" t="s">
        <v>1196</v>
      </c>
      <c r="AP75" s="9" t="s">
        <v>469</v>
      </c>
      <c r="AQ75" s="9" t="s">
        <v>372</v>
      </c>
      <c r="AR75" t="b">
        <v>0</v>
      </c>
      <c r="AS75" s="10"/>
      <c r="AT75" s="10" t="s">
        <v>299</v>
      </c>
      <c r="AU75" s="9"/>
      <c r="AV75" t="b">
        <v>0</v>
      </c>
      <c r="AW75" s="12"/>
      <c r="AX75" s="11"/>
      <c r="AY75" s="9"/>
      <c r="AZ75" t="b">
        <v>0</v>
      </c>
      <c r="BA75" s="9"/>
      <c r="BB75" s="12"/>
      <c r="BC75" s="11"/>
      <c r="BD75" s="9" t="s">
        <v>325</v>
      </c>
      <c r="BE75" s="9" t="s">
        <v>47</v>
      </c>
      <c r="BF75" s="9" t="s">
        <v>457</v>
      </c>
      <c r="BG75" s="9" t="s">
        <v>416</v>
      </c>
      <c r="BH75" s="9" t="s">
        <v>304</v>
      </c>
      <c r="BI75" s="9" t="s">
        <v>638</v>
      </c>
      <c r="BJ75" s="9" t="s">
        <v>639</v>
      </c>
      <c r="BK75" s="11">
        <v>856</v>
      </c>
      <c r="BL75" s="16">
        <v>184.94980000000001</v>
      </c>
      <c r="BM75" s="10"/>
      <c r="BN75" s="10"/>
      <c r="BO75" s="10"/>
      <c r="BP75" s="16"/>
      <c r="BQ75" s="16"/>
      <c r="BR75" s="9"/>
      <c r="BS75" s="9"/>
      <c r="BT75" s="9"/>
      <c r="BU75" s="9"/>
      <c r="BV75" s="9"/>
      <c r="BW75" s="10"/>
      <c r="BX75" s="15" t="s">
        <v>1197</v>
      </c>
      <c r="BY75" s="10"/>
      <c r="BZ75" s="10"/>
      <c r="CA75" s="10"/>
      <c r="CB75" t="b">
        <v>0</v>
      </c>
      <c r="CC75" s="9" t="s">
        <v>308</v>
      </c>
      <c r="CD75" s="9" t="s">
        <v>309</v>
      </c>
    </row>
    <row r="76" spans="1:82">
      <c r="A76" s="8">
        <v>89615</v>
      </c>
      <c r="B76" s="9" t="s">
        <v>1186</v>
      </c>
      <c r="C76" s="9" t="s">
        <v>628</v>
      </c>
      <c r="D76" s="10">
        <v>45804</v>
      </c>
      <c r="E76" s="9" t="s">
        <v>1198</v>
      </c>
      <c r="F76" s="9" t="s">
        <v>1188</v>
      </c>
      <c r="G76" s="9" t="s">
        <v>1189</v>
      </c>
      <c r="H76" s="9" t="s">
        <v>315</v>
      </c>
      <c r="I76" s="9" t="s">
        <v>282</v>
      </c>
      <c r="J76" s="9" t="s">
        <v>283</v>
      </c>
      <c r="K76" s="9" t="s">
        <v>284</v>
      </c>
      <c r="L76" s="9" t="s">
        <v>1199</v>
      </c>
      <c r="M76" s="9" t="s">
        <v>1200</v>
      </c>
      <c r="N76" s="8">
        <v>1</v>
      </c>
      <c r="O76" s="9" t="s">
        <v>1201</v>
      </c>
      <c r="P76" s="11">
        <v>140.1</v>
      </c>
      <c r="Q76" s="11">
        <v>126.5</v>
      </c>
      <c r="R76" s="11">
        <v>117</v>
      </c>
      <c r="S76" s="11">
        <v>1200</v>
      </c>
      <c r="T76" s="11">
        <v>168120</v>
      </c>
      <c r="U76" s="12">
        <v>5.3999999999999999E-2</v>
      </c>
      <c r="V76" s="12">
        <v>0.86829999999999996</v>
      </c>
      <c r="W76" s="11">
        <v>1223.18</v>
      </c>
      <c r="X76" s="9" t="s">
        <v>288</v>
      </c>
      <c r="Y76" s="10">
        <v>45114</v>
      </c>
      <c r="Z76" s="13">
        <v>0.12740000000000001</v>
      </c>
      <c r="AB76" t="b">
        <v>0</v>
      </c>
      <c r="AC76" s="9" t="s">
        <v>289</v>
      </c>
      <c r="AD76" s="9" t="s">
        <v>290</v>
      </c>
      <c r="AE76" s="8">
        <v>615.4</v>
      </c>
      <c r="AF76" s="14">
        <v>43.918843000000003</v>
      </c>
      <c r="AG76" s="14">
        <v>2.5632199999999998</v>
      </c>
      <c r="AH76" s="9" t="s">
        <v>524</v>
      </c>
      <c r="AI76" s="15" t="s">
        <v>319</v>
      </c>
      <c r="AJ76" s="9" t="s">
        <v>293</v>
      </c>
      <c r="AK76" s="9" t="s">
        <v>1193</v>
      </c>
      <c r="AL76" s="9" t="s">
        <v>1194</v>
      </c>
      <c r="AM76" s="9"/>
      <c r="AN76" s="9" t="s">
        <v>1195</v>
      </c>
      <c r="AO76" s="9"/>
      <c r="AP76" s="9" t="s">
        <v>469</v>
      </c>
      <c r="AQ76" s="9" t="s">
        <v>1053</v>
      </c>
      <c r="AR76" t="b">
        <v>0</v>
      </c>
      <c r="AS76" s="10"/>
      <c r="AT76" s="10" t="s">
        <v>299</v>
      </c>
      <c r="AU76" s="9"/>
      <c r="AV76" t="b">
        <v>0</v>
      </c>
      <c r="AW76" s="12"/>
      <c r="AX76" s="11"/>
      <c r="AY76" s="9"/>
      <c r="AZ76" t="b">
        <v>0</v>
      </c>
      <c r="BA76" s="9"/>
      <c r="BB76" s="12"/>
      <c r="BC76" s="11"/>
      <c r="BD76" s="9" t="s">
        <v>300</v>
      </c>
      <c r="BE76" s="9" t="s">
        <v>47</v>
      </c>
      <c r="BF76" s="9" t="s">
        <v>457</v>
      </c>
      <c r="BG76" s="9" t="s">
        <v>416</v>
      </c>
      <c r="BH76" s="9" t="s">
        <v>304</v>
      </c>
      <c r="BI76" s="9" t="s">
        <v>638</v>
      </c>
      <c r="BJ76" s="9" t="s">
        <v>639</v>
      </c>
      <c r="BK76" s="11">
        <v>856</v>
      </c>
      <c r="BL76" s="16">
        <v>122.8167</v>
      </c>
      <c r="BM76" s="10"/>
      <c r="BN76" s="10"/>
      <c r="BO76" s="10"/>
      <c r="BP76" s="16"/>
      <c r="BQ76" s="16"/>
      <c r="BR76" s="9"/>
      <c r="BS76" s="9"/>
      <c r="BT76" s="9"/>
      <c r="BU76" s="9"/>
      <c r="BV76" s="9"/>
      <c r="BW76" s="10"/>
      <c r="BX76" s="15" t="s">
        <v>1202</v>
      </c>
      <c r="BY76" s="10"/>
      <c r="BZ76" s="10"/>
      <c r="CA76" s="10"/>
      <c r="CB76" t="b">
        <v>0</v>
      </c>
      <c r="CC76" s="9" t="s">
        <v>308</v>
      </c>
      <c r="CD76" s="9" t="s">
        <v>309</v>
      </c>
    </row>
    <row r="77" spans="1:82">
      <c r="A77" s="8">
        <v>95918</v>
      </c>
      <c r="B77" s="9" t="s">
        <v>1203</v>
      </c>
      <c r="C77" s="9" t="s">
        <v>1204</v>
      </c>
      <c r="D77" s="10">
        <v>45803</v>
      </c>
      <c r="E77" s="9" t="s">
        <v>1205</v>
      </c>
      <c r="F77" s="9" t="s">
        <v>422</v>
      </c>
      <c r="G77" s="9" t="s">
        <v>423</v>
      </c>
      <c r="H77" s="9" t="s">
        <v>281</v>
      </c>
      <c r="I77" s="9" t="s">
        <v>282</v>
      </c>
      <c r="J77" s="9" t="s">
        <v>283</v>
      </c>
      <c r="K77" s="9" t="s">
        <v>284</v>
      </c>
      <c r="L77" s="9" t="s">
        <v>1206</v>
      </c>
      <c r="M77" s="9" t="s">
        <v>1207</v>
      </c>
      <c r="N77" s="8">
        <v>1</v>
      </c>
      <c r="O77" s="9" t="s">
        <v>1208</v>
      </c>
      <c r="P77" s="11">
        <v>309.39999999999998</v>
      </c>
      <c r="Q77" s="11">
        <v>253</v>
      </c>
      <c r="R77" s="11">
        <v>249</v>
      </c>
      <c r="S77" s="11">
        <v>1130</v>
      </c>
      <c r="T77" s="11">
        <v>349622</v>
      </c>
      <c r="U77" s="12">
        <v>5.3999999999999999E-2</v>
      </c>
      <c r="V77" s="12">
        <v>0.84099999999999997</v>
      </c>
      <c r="W77" s="11">
        <v>1110.2</v>
      </c>
      <c r="X77" s="9" t="s">
        <v>288</v>
      </c>
      <c r="Y77" s="10">
        <v>45170</v>
      </c>
      <c r="Z77" s="13">
        <v>0.12379999999999999</v>
      </c>
      <c r="AB77" t="b">
        <v>0</v>
      </c>
      <c r="AC77" s="9" t="s">
        <v>289</v>
      </c>
      <c r="AD77" s="9" t="s">
        <v>290</v>
      </c>
      <c r="AE77" s="8">
        <v>1358.7</v>
      </c>
      <c r="AF77" s="14">
        <v>43.043824999999998</v>
      </c>
      <c r="AG77" s="14">
        <v>0.85933300000000001</v>
      </c>
      <c r="AH77" s="9" t="s">
        <v>483</v>
      </c>
      <c r="AI77" s="15" t="s">
        <v>319</v>
      </c>
      <c r="AJ77" s="9" t="s">
        <v>293</v>
      </c>
      <c r="AK77" s="9" t="s">
        <v>1209</v>
      </c>
      <c r="AL77" s="9" t="s">
        <v>1210</v>
      </c>
      <c r="AM77" s="9"/>
      <c r="AN77" s="9" t="s">
        <v>1211</v>
      </c>
      <c r="AO77" s="9"/>
      <c r="AP77" s="9" t="s">
        <v>139</v>
      </c>
      <c r="AQ77" s="9" t="s">
        <v>1212</v>
      </c>
      <c r="AR77" t="b">
        <v>0</v>
      </c>
      <c r="AS77" s="10"/>
      <c r="AT77" s="10" t="s">
        <v>299</v>
      </c>
      <c r="AU77" s="9"/>
      <c r="AV77" t="b">
        <v>0</v>
      </c>
      <c r="AW77" s="12"/>
      <c r="AX77" s="11"/>
      <c r="AY77" s="9"/>
      <c r="AZ77" t="b">
        <v>0</v>
      </c>
      <c r="BA77" s="9"/>
      <c r="BB77" s="12"/>
      <c r="BC77" s="11"/>
      <c r="BD77" s="9" t="s">
        <v>300</v>
      </c>
      <c r="BE77" s="9" t="s">
        <v>86</v>
      </c>
      <c r="BF77" s="9" t="s">
        <v>373</v>
      </c>
      <c r="BG77" s="9" t="s">
        <v>416</v>
      </c>
      <c r="BH77" s="9" t="s">
        <v>304</v>
      </c>
      <c r="BI77" s="9" t="s">
        <v>1213</v>
      </c>
      <c r="BJ77" s="9" t="s">
        <v>1214</v>
      </c>
      <c r="BK77" s="11">
        <v>856</v>
      </c>
      <c r="BL77" s="16">
        <v>178.6498</v>
      </c>
      <c r="BM77" s="10">
        <v>45924</v>
      </c>
      <c r="BN77" s="10">
        <v>45926</v>
      </c>
      <c r="BO77" s="10"/>
      <c r="BP77" s="16"/>
      <c r="BQ77" s="16"/>
      <c r="BR77" s="9" t="s">
        <v>1215</v>
      </c>
      <c r="BS77" s="9" t="s">
        <v>1216</v>
      </c>
      <c r="BT77" s="9" t="s">
        <v>423</v>
      </c>
      <c r="BU77" s="9" t="s">
        <v>422</v>
      </c>
      <c r="BV77" s="9"/>
      <c r="BW77" s="10"/>
      <c r="BX77" s="15" t="s">
        <v>1217</v>
      </c>
      <c r="BY77" s="10"/>
      <c r="BZ77" s="10"/>
      <c r="CA77" s="10"/>
      <c r="CB77" t="b">
        <v>0</v>
      </c>
      <c r="CC77" s="9" t="s">
        <v>308</v>
      </c>
      <c r="CD77" s="9" t="s">
        <v>309</v>
      </c>
    </row>
    <row r="78" spans="1:82">
      <c r="A78" s="8">
        <v>95919</v>
      </c>
      <c r="B78" s="9" t="s">
        <v>1203</v>
      </c>
      <c r="C78" s="9" t="s">
        <v>377</v>
      </c>
      <c r="D78" s="10">
        <v>45803</v>
      </c>
      <c r="E78" s="9" t="s">
        <v>1216</v>
      </c>
      <c r="F78" s="9" t="s">
        <v>422</v>
      </c>
      <c r="G78" s="9" t="s">
        <v>423</v>
      </c>
      <c r="H78" s="9" t="s">
        <v>315</v>
      </c>
      <c r="I78" s="9" t="s">
        <v>282</v>
      </c>
      <c r="J78" s="9" t="s">
        <v>283</v>
      </c>
      <c r="K78" s="9" t="s">
        <v>284</v>
      </c>
      <c r="L78" s="9" t="s">
        <v>1218</v>
      </c>
      <c r="M78" s="9" t="s">
        <v>1219</v>
      </c>
      <c r="N78" s="8">
        <v>1</v>
      </c>
      <c r="O78" s="9" t="s">
        <v>1220</v>
      </c>
      <c r="P78" s="11">
        <v>268.64999999999998</v>
      </c>
      <c r="Q78" s="11">
        <v>253</v>
      </c>
      <c r="R78" s="11">
        <v>231</v>
      </c>
      <c r="S78" s="11">
        <v>1162</v>
      </c>
      <c r="T78" s="11">
        <v>312171.3</v>
      </c>
      <c r="U78" s="12">
        <v>5.3999999999999999E-2</v>
      </c>
      <c r="V78" s="12">
        <v>0.87370000000000003</v>
      </c>
      <c r="W78" s="11">
        <v>1145.01</v>
      </c>
      <c r="X78" s="9" t="s">
        <v>288</v>
      </c>
      <c r="Y78" s="10">
        <v>45170</v>
      </c>
      <c r="Z78" s="13">
        <v>0.12379999999999999</v>
      </c>
      <c r="AB78" t="b">
        <v>0</v>
      </c>
      <c r="AC78" s="9" t="s">
        <v>289</v>
      </c>
      <c r="AD78" s="9" t="s">
        <v>290</v>
      </c>
      <c r="AE78" s="8">
        <v>1258.8</v>
      </c>
      <c r="AF78" s="14">
        <v>43.043895999999997</v>
      </c>
      <c r="AG78" s="14">
        <v>0.85996099999999998</v>
      </c>
      <c r="AH78" s="9" t="s">
        <v>291</v>
      </c>
      <c r="AI78" s="15" t="s">
        <v>319</v>
      </c>
      <c r="AJ78" s="9" t="s">
        <v>293</v>
      </c>
      <c r="AK78" s="9" t="s">
        <v>1215</v>
      </c>
      <c r="AL78" s="9" t="s">
        <v>1210</v>
      </c>
      <c r="AM78" s="9"/>
      <c r="AN78" s="9" t="s">
        <v>1211</v>
      </c>
      <c r="AO78" s="9"/>
      <c r="AP78" s="9" t="s">
        <v>108</v>
      </c>
      <c r="AQ78" s="9" t="s">
        <v>1212</v>
      </c>
      <c r="AR78" t="b">
        <v>1</v>
      </c>
      <c r="AS78" s="10">
        <v>46022</v>
      </c>
      <c r="AT78" s="10">
        <v>46022</v>
      </c>
      <c r="AU78" s="9" t="s">
        <v>1139</v>
      </c>
      <c r="AV78" t="b">
        <v>0</v>
      </c>
      <c r="AW78" s="12"/>
      <c r="AX78" s="11">
        <v>7300</v>
      </c>
      <c r="AY78" s="9" t="s">
        <v>471</v>
      </c>
      <c r="AZ78" t="b">
        <v>1</v>
      </c>
      <c r="BA78" s="9" t="s">
        <v>472</v>
      </c>
      <c r="BB78" s="12"/>
      <c r="BC78" s="11">
        <v>7300</v>
      </c>
      <c r="BD78" s="9" t="s">
        <v>300</v>
      </c>
      <c r="BE78" s="9" t="s">
        <v>301</v>
      </c>
      <c r="BF78" s="9" t="s">
        <v>373</v>
      </c>
      <c r="BG78" s="9" t="s">
        <v>416</v>
      </c>
      <c r="BH78" s="9" t="s">
        <v>304</v>
      </c>
      <c r="BI78" s="9" t="s">
        <v>386</v>
      </c>
      <c r="BJ78" s="9" t="s">
        <v>387</v>
      </c>
      <c r="BK78" s="11">
        <v>856</v>
      </c>
      <c r="BL78" s="16">
        <v>169.99455</v>
      </c>
      <c r="BM78" s="10"/>
      <c r="BN78" s="10"/>
      <c r="BO78" s="10"/>
      <c r="BP78" s="16"/>
      <c r="BQ78" s="16"/>
      <c r="BR78" s="9" t="s">
        <v>1215</v>
      </c>
      <c r="BS78" s="9" t="s">
        <v>1221</v>
      </c>
      <c r="BT78" s="9" t="s">
        <v>423</v>
      </c>
      <c r="BU78" s="9" t="s">
        <v>422</v>
      </c>
      <c r="BV78" s="9"/>
      <c r="BW78" s="10"/>
      <c r="BX78" s="15" t="s">
        <v>458</v>
      </c>
      <c r="BY78" s="10"/>
      <c r="BZ78" s="10"/>
      <c r="CA78" s="10"/>
      <c r="CB78" t="b">
        <v>0</v>
      </c>
      <c r="CC78" s="9" t="s">
        <v>308</v>
      </c>
      <c r="CD78" s="9" t="s">
        <v>309</v>
      </c>
    </row>
    <row r="79" spans="1:82">
      <c r="A79" s="8">
        <v>97180</v>
      </c>
      <c r="B79" s="9" t="s">
        <v>1222</v>
      </c>
      <c r="C79" s="9" t="s">
        <v>628</v>
      </c>
      <c r="D79" s="10">
        <v>45803</v>
      </c>
      <c r="E79" s="9" t="s">
        <v>1223</v>
      </c>
      <c r="F79" s="9" t="s">
        <v>1224</v>
      </c>
      <c r="G79" s="9" t="s">
        <v>1225</v>
      </c>
      <c r="H79" s="9" t="s">
        <v>315</v>
      </c>
      <c r="I79" s="9" t="s">
        <v>282</v>
      </c>
      <c r="J79" s="9" t="s">
        <v>283</v>
      </c>
      <c r="K79" s="9" t="s">
        <v>284</v>
      </c>
      <c r="L79" s="9" t="s">
        <v>1226</v>
      </c>
      <c r="M79" s="9" t="s">
        <v>1227</v>
      </c>
      <c r="N79" s="8">
        <v>1</v>
      </c>
      <c r="O79" s="9" t="s">
        <v>1228</v>
      </c>
      <c r="P79" s="11">
        <v>177.9</v>
      </c>
      <c r="Q79" s="11">
        <v>165</v>
      </c>
      <c r="R79" s="11">
        <v>149</v>
      </c>
      <c r="S79" s="11">
        <v>1374</v>
      </c>
      <c r="T79" s="11">
        <v>244434.6</v>
      </c>
      <c r="U79" s="12">
        <v>5.3999999999999999E-2</v>
      </c>
      <c r="V79" s="12">
        <v>0.86129999999999995</v>
      </c>
      <c r="W79" s="11">
        <v>1366.17</v>
      </c>
      <c r="X79" s="9" t="s">
        <v>288</v>
      </c>
      <c r="Y79" s="10">
        <v>45040</v>
      </c>
      <c r="Z79" s="13">
        <v>0.13120000000000001</v>
      </c>
      <c r="AB79" t="b">
        <v>0</v>
      </c>
      <c r="AC79" s="9" t="s">
        <v>289</v>
      </c>
      <c r="AD79" s="9" t="s">
        <v>290</v>
      </c>
      <c r="AE79" s="8">
        <v>781.26</v>
      </c>
      <c r="AF79" s="14">
        <v>43.79806</v>
      </c>
      <c r="AG79" s="14">
        <v>5.7837199999999998</v>
      </c>
      <c r="AH79" s="9" t="s">
        <v>524</v>
      </c>
      <c r="AI79" s="15" t="s">
        <v>319</v>
      </c>
      <c r="AJ79" s="9" t="s">
        <v>293</v>
      </c>
      <c r="AK79" s="9" t="s">
        <v>1229</v>
      </c>
      <c r="AL79" s="9" t="s">
        <v>1230</v>
      </c>
      <c r="AM79" s="9"/>
      <c r="AN79" s="9" t="s">
        <v>1231</v>
      </c>
      <c r="AO79" s="9"/>
      <c r="AP79" s="9" t="s">
        <v>139</v>
      </c>
      <c r="AQ79" s="9" t="s">
        <v>1053</v>
      </c>
      <c r="AR79" t="b">
        <v>0</v>
      </c>
      <c r="AS79" s="10"/>
      <c r="AT79" s="10" t="s">
        <v>299</v>
      </c>
      <c r="AU79" s="9"/>
      <c r="AV79" t="b">
        <v>0</v>
      </c>
      <c r="AW79" s="12"/>
      <c r="AX79" s="11"/>
      <c r="AY79" s="9"/>
      <c r="AZ79" t="b">
        <v>0</v>
      </c>
      <c r="BA79" s="9"/>
      <c r="BB79" s="12"/>
      <c r="BC79" s="11"/>
      <c r="BD79" s="9" t="s">
        <v>300</v>
      </c>
      <c r="BE79" s="9" t="s">
        <v>47</v>
      </c>
      <c r="BF79" s="9" t="s">
        <v>690</v>
      </c>
      <c r="BG79" s="9" t="s">
        <v>967</v>
      </c>
      <c r="BH79" s="9" t="s">
        <v>304</v>
      </c>
      <c r="BI79" s="9" t="s">
        <v>638</v>
      </c>
      <c r="BJ79" s="9" t="s">
        <v>639</v>
      </c>
      <c r="BK79" s="11">
        <v>856</v>
      </c>
      <c r="BL79" s="16">
        <v>136.6893</v>
      </c>
      <c r="BM79" s="10"/>
      <c r="BN79" s="10"/>
      <c r="BO79" s="10"/>
      <c r="BP79" s="16"/>
      <c r="BQ79" s="16"/>
      <c r="BR79" s="9"/>
      <c r="BS79" s="9"/>
      <c r="BT79" s="9"/>
      <c r="BU79" s="9"/>
      <c r="BV79" s="9"/>
      <c r="BW79" s="10"/>
      <c r="BX79" s="15" t="s">
        <v>1232</v>
      </c>
      <c r="BY79" s="10"/>
      <c r="BZ79" s="10"/>
      <c r="CA79" s="10"/>
      <c r="CB79" t="b">
        <v>0</v>
      </c>
      <c r="CC79" s="9" t="s">
        <v>308</v>
      </c>
      <c r="CD79" s="9" t="s">
        <v>309</v>
      </c>
    </row>
    <row r="80" spans="1:82">
      <c r="A80" s="8">
        <v>99373</v>
      </c>
      <c r="B80" s="9" t="s">
        <v>420</v>
      </c>
      <c r="C80" s="9" t="s">
        <v>517</v>
      </c>
      <c r="D80" s="10">
        <v>45800</v>
      </c>
      <c r="E80" s="9" t="s">
        <v>1233</v>
      </c>
      <c r="F80" s="9" t="s">
        <v>422</v>
      </c>
      <c r="G80" s="9" t="s">
        <v>423</v>
      </c>
      <c r="H80" s="9" t="s">
        <v>281</v>
      </c>
      <c r="I80" s="9" t="s">
        <v>282</v>
      </c>
      <c r="J80" s="9" t="s">
        <v>283</v>
      </c>
      <c r="K80" s="9" t="s">
        <v>284</v>
      </c>
      <c r="L80" s="9" t="s">
        <v>1234</v>
      </c>
      <c r="M80" s="9" t="s">
        <v>1235</v>
      </c>
      <c r="N80" s="8">
        <v>1</v>
      </c>
      <c r="O80" s="9" t="s">
        <v>1236</v>
      </c>
      <c r="P80" s="11">
        <v>331.24</v>
      </c>
      <c r="Q80" s="11">
        <v>250</v>
      </c>
      <c r="R80" s="11">
        <v>249</v>
      </c>
      <c r="S80" s="11">
        <v>1150</v>
      </c>
      <c r="T80" s="11">
        <v>380926</v>
      </c>
      <c r="U80" s="12">
        <v>5.3999999999999999E-2</v>
      </c>
      <c r="V80" s="12">
        <v>0.878</v>
      </c>
      <c r="W80" s="11">
        <v>1212.5999999999999</v>
      </c>
      <c r="X80" s="9" t="s">
        <v>288</v>
      </c>
      <c r="Y80" s="10">
        <v>45315</v>
      </c>
      <c r="Z80" s="13">
        <v>0.1208</v>
      </c>
      <c r="AB80" t="b">
        <v>0</v>
      </c>
      <c r="AC80" s="9" t="s">
        <v>289</v>
      </c>
      <c r="AD80" s="9" t="s">
        <v>290</v>
      </c>
      <c r="AE80" s="8">
        <v>1454.623</v>
      </c>
      <c r="AF80" s="14">
        <v>43.04786</v>
      </c>
      <c r="AG80" s="14">
        <v>0.85301000000000005</v>
      </c>
      <c r="AH80" s="9" t="s">
        <v>524</v>
      </c>
      <c r="AI80" s="15" t="s">
        <v>396</v>
      </c>
      <c r="AJ80" s="9" t="s">
        <v>293</v>
      </c>
      <c r="AK80" s="9" t="s">
        <v>1237</v>
      </c>
      <c r="AL80" s="9" t="s">
        <v>428</v>
      </c>
      <c r="AM80" s="9"/>
      <c r="AN80" s="9" t="s">
        <v>429</v>
      </c>
      <c r="AO80" s="9"/>
      <c r="AP80" s="9" t="s">
        <v>139</v>
      </c>
      <c r="AQ80" s="9" t="s">
        <v>372</v>
      </c>
      <c r="AR80" t="b">
        <v>0</v>
      </c>
      <c r="AS80" s="10"/>
      <c r="AT80" s="10" t="s">
        <v>299</v>
      </c>
      <c r="AU80" s="9"/>
      <c r="AV80" t="b">
        <v>0</v>
      </c>
      <c r="AW80" s="12"/>
      <c r="AX80" s="11"/>
      <c r="AY80" s="9"/>
      <c r="AZ80" t="b">
        <v>0</v>
      </c>
      <c r="BA80" s="9"/>
      <c r="BB80" s="12"/>
      <c r="BC80" s="11"/>
      <c r="BD80" s="9" t="s">
        <v>325</v>
      </c>
      <c r="BE80" s="9" t="s">
        <v>47</v>
      </c>
      <c r="BF80" s="9" t="s">
        <v>373</v>
      </c>
      <c r="BG80" s="9" t="s">
        <v>416</v>
      </c>
      <c r="BH80" s="9" t="s">
        <v>304</v>
      </c>
      <c r="BI80" s="9" t="s">
        <v>530</v>
      </c>
      <c r="BJ80" s="9" t="s">
        <v>531</v>
      </c>
      <c r="BK80" s="11">
        <v>856</v>
      </c>
      <c r="BL80" s="16">
        <v>192.96508</v>
      </c>
      <c r="BM80" s="10"/>
      <c r="BN80" s="10"/>
      <c r="BO80" s="10"/>
      <c r="BP80" s="16"/>
      <c r="BQ80" s="16"/>
      <c r="BR80" s="9"/>
      <c r="BS80" s="9"/>
      <c r="BT80" s="9"/>
      <c r="BU80" s="9"/>
      <c r="BV80" s="9"/>
      <c r="BW80" s="10"/>
      <c r="BX80" s="15" t="s">
        <v>1238</v>
      </c>
      <c r="BY80" s="10"/>
      <c r="BZ80" s="10"/>
      <c r="CA80" s="10"/>
      <c r="CB80" t="b">
        <v>0</v>
      </c>
      <c r="CC80" s="9" t="s">
        <v>308</v>
      </c>
      <c r="CD80" s="9" t="s">
        <v>309</v>
      </c>
    </row>
    <row r="81" spans="1:82" ht="29.1">
      <c r="A81" s="8">
        <v>90361</v>
      </c>
      <c r="B81" s="9" t="s">
        <v>824</v>
      </c>
      <c r="C81" s="9" t="s">
        <v>277</v>
      </c>
      <c r="D81" s="10">
        <v>45799</v>
      </c>
      <c r="E81" s="9" t="s">
        <v>1239</v>
      </c>
      <c r="F81" s="9" t="s">
        <v>826</v>
      </c>
      <c r="G81" s="9" t="s">
        <v>827</v>
      </c>
      <c r="H81" s="9" t="s">
        <v>281</v>
      </c>
      <c r="I81" s="9" t="s">
        <v>282</v>
      </c>
      <c r="J81" s="9" t="s">
        <v>283</v>
      </c>
      <c r="K81" s="9" t="s">
        <v>284</v>
      </c>
      <c r="L81" s="9" t="s">
        <v>1240</v>
      </c>
      <c r="M81" s="9" t="s">
        <v>1241</v>
      </c>
      <c r="N81" s="8">
        <v>1</v>
      </c>
      <c r="O81" s="9" t="s">
        <v>1242</v>
      </c>
      <c r="P81" s="11">
        <v>218.85499999999999</v>
      </c>
      <c r="Q81" s="11">
        <v>250</v>
      </c>
      <c r="R81" s="11">
        <v>164.3</v>
      </c>
      <c r="S81" s="11">
        <v>1051</v>
      </c>
      <c r="T81" s="11">
        <v>230016.60500000001</v>
      </c>
      <c r="U81" s="12">
        <v>5.3999999999999999E-2</v>
      </c>
      <c r="V81" s="12">
        <v>0.86960000000000004</v>
      </c>
      <c r="W81" s="11">
        <v>1096.97</v>
      </c>
      <c r="X81" s="9" t="s">
        <v>288</v>
      </c>
      <c r="Y81" s="10">
        <v>45000</v>
      </c>
      <c r="Z81" s="13">
        <v>0.13120000000000001</v>
      </c>
      <c r="AB81" t="b">
        <v>0</v>
      </c>
      <c r="AC81" s="9" t="s">
        <v>289</v>
      </c>
      <c r="AD81" s="9" t="s">
        <v>290</v>
      </c>
      <c r="AE81" s="8">
        <v>961.09</v>
      </c>
      <c r="AF81" s="14">
        <v>46.693800000000003</v>
      </c>
      <c r="AG81" s="14">
        <v>4.1036099999999998</v>
      </c>
      <c r="AH81" s="9" t="s">
        <v>291</v>
      </c>
      <c r="AI81" s="15" t="s">
        <v>1243</v>
      </c>
      <c r="AJ81" s="9" t="s">
        <v>293</v>
      </c>
      <c r="AK81" s="9" t="s">
        <v>831</v>
      </c>
      <c r="AL81" s="9" t="s">
        <v>832</v>
      </c>
      <c r="AM81" s="9"/>
      <c r="AN81" s="9" t="s">
        <v>833</v>
      </c>
      <c r="AO81" s="9"/>
      <c r="AP81" s="9" t="s">
        <v>68</v>
      </c>
      <c r="AQ81" s="9" t="s">
        <v>68</v>
      </c>
      <c r="AR81" t="b">
        <v>0</v>
      </c>
      <c r="AS81" s="10"/>
      <c r="AT81" s="10" t="s">
        <v>299</v>
      </c>
      <c r="AU81" s="9"/>
      <c r="AV81" t="b">
        <v>0</v>
      </c>
      <c r="AW81" s="12"/>
      <c r="AX81" s="11"/>
      <c r="AY81" s="9"/>
      <c r="AZ81" t="b">
        <v>0</v>
      </c>
      <c r="BA81" s="9"/>
      <c r="BB81" s="12"/>
      <c r="BC81" s="11"/>
      <c r="BD81" s="9" t="s">
        <v>300</v>
      </c>
      <c r="BE81" s="9" t="s">
        <v>301</v>
      </c>
      <c r="BF81" s="9" t="s">
        <v>402</v>
      </c>
      <c r="BG81" s="9" t="s">
        <v>303</v>
      </c>
      <c r="BH81" s="9" t="s">
        <v>304</v>
      </c>
      <c r="BI81" s="9" t="s">
        <v>305</v>
      </c>
      <c r="BJ81" s="9" t="s">
        <v>306</v>
      </c>
      <c r="BK81" s="11">
        <v>856</v>
      </c>
      <c r="BL81" s="16">
        <v>151.719785</v>
      </c>
      <c r="BM81" s="10"/>
      <c r="BN81" s="10"/>
      <c r="BO81" s="10"/>
      <c r="BP81" s="16"/>
      <c r="BQ81" s="16"/>
      <c r="BR81" s="9"/>
      <c r="BS81" s="9"/>
      <c r="BT81" s="9"/>
      <c r="BU81" s="9"/>
      <c r="BV81" s="9"/>
      <c r="BW81" s="10"/>
      <c r="BX81" s="15" t="s">
        <v>1244</v>
      </c>
      <c r="BY81" s="10"/>
      <c r="BZ81" s="10"/>
      <c r="CA81" s="10"/>
      <c r="CB81" t="b">
        <v>0</v>
      </c>
      <c r="CC81" s="9" t="s">
        <v>308</v>
      </c>
      <c r="CD81" s="9" t="s">
        <v>309</v>
      </c>
    </row>
    <row r="82" spans="1:82" ht="29.1">
      <c r="A82" s="8">
        <v>33559</v>
      </c>
      <c r="B82" s="9" t="s">
        <v>1245</v>
      </c>
      <c r="C82" s="9" t="s">
        <v>932</v>
      </c>
      <c r="D82" s="10">
        <v>45793</v>
      </c>
      <c r="E82" s="9" t="s">
        <v>1246</v>
      </c>
      <c r="F82" s="9" t="s">
        <v>1247</v>
      </c>
      <c r="G82" s="9" t="s">
        <v>1248</v>
      </c>
      <c r="H82" s="9" t="s">
        <v>281</v>
      </c>
      <c r="I82" s="9" t="s">
        <v>282</v>
      </c>
      <c r="J82" s="9" t="s">
        <v>283</v>
      </c>
      <c r="K82" s="9" t="s">
        <v>284</v>
      </c>
      <c r="L82" s="9" t="s">
        <v>1249</v>
      </c>
      <c r="M82" s="9" t="s">
        <v>1250</v>
      </c>
      <c r="N82" s="8">
        <v>2</v>
      </c>
      <c r="O82" s="9" t="s">
        <v>1251</v>
      </c>
      <c r="P82" s="11">
        <v>278.005</v>
      </c>
      <c r="Q82" s="11">
        <v>275</v>
      </c>
      <c r="R82" s="11">
        <v>243</v>
      </c>
      <c r="S82" s="11">
        <v>1119.0791366906501</v>
      </c>
      <c r="T82" s="11">
        <v>311109.59539568401</v>
      </c>
      <c r="U82" s="12">
        <v>5.3999999999999999E-2</v>
      </c>
      <c r="V82" s="12">
        <v>0.85199999999999998</v>
      </c>
      <c r="W82" s="11">
        <v>1267.8</v>
      </c>
      <c r="X82" s="9" t="s">
        <v>288</v>
      </c>
      <c r="Y82" s="10">
        <v>44963</v>
      </c>
      <c r="Z82" s="13">
        <v>0.13120000000000001</v>
      </c>
      <c r="AB82" t="b">
        <v>0</v>
      </c>
      <c r="AC82" s="9" t="s">
        <v>289</v>
      </c>
      <c r="AD82" s="9" t="s">
        <v>290</v>
      </c>
      <c r="AE82" s="8">
        <v>1220.8440000000001</v>
      </c>
      <c r="AF82" s="14">
        <v>44.148040000000002</v>
      </c>
      <c r="AG82" s="14">
        <v>0.44966</v>
      </c>
      <c r="AH82" s="9" t="s">
        <v>483</v>
      </c>
      <c r="AI82" s="15" t="s">
        <v>1243</v>
      </c>
      <c r="AJ82" s="9" t="s">
        <v>293</v>
      </c>
      <c r="AK82" s="9" t="s">
        <v>1252</v>
      </c>
      <c r="AL82" s="9" t="s">
        <v>1253</v>
      </c>
      <c r="AM82" s="9"/>
      <c r="AN82" s="9" t="s">
        <v>1254</v>
      </c>
      <c r="AO82" s="9"/>
      <c r="AP82" s="9" t="s">
        <v>371</v>
      </c>
      <c r="AQ82" s="9" t="s">
        <v>298</v>
      </c>
      <c r="AR82" t="b">
        <v>0</v>
      </c>
      <c r="AS82" s="10"/>
      <c r="AT82" s="10" t="s">
        <v>299</v>
      </c>
      <c r="AU82" s="9"/>
      <c r="AV82" t="b">
        <v>0</v>
      </c>
      <c r="AW82" s="12"/>
      <c r="AX82" s="11"/>
      <c r="AY82" s="9"/>
      <c r="AZ82" t="b">
        <v>0</v>
      </c>
      <c r="BA82" s="9"/>
      <c r="BB82" s="12"/>
      <c r="BC82" s="11"/>
      <c r="BD82" s="9" t="s">
        <v>325</v>
      </c>
      <c r="BE82" s="9" t="s">
        <v>301</v>
      </c>
      <c r="BF82" s="9" t="s">
        <v>1111</v>
      </c>
      <c r="BG82" s="9" t="s">
        <v>749</v>
      </c>
      <c r="BH82" s="9" t="s">
        <v>304</v>
      </c>
      <c r="BI82" s="9" t="s">
        <v>943</v>
      </c>
      <c r="BJ82" s="9" t="s">
        <v>944</v>
      </c>
      <c r="BK82" s="11">
        <v>856</v>
      </c>
      <c r="BL82" s="16">
        <v>167.127835</v>
      </c>
      <c r="BM82" s="10">
        <v>45915</v>
      </c>
      <c r="BN82" s="10">
        <v>45926</v>
      </c>
      <c r="BO82" s="10"/>
      <c r="BP82" s="16"/>
      <c r="BQ82" s="16"/>
      <c r="BR82" s="9"/>
      <c r="BS82" s="9"/>
      <c r="BT82" s="9"/>
      <c r="BU82" s="9"/>
      <c r="BV82" s="9"/>
      <c r="BW82" s="10"/>
      <c r="BX82" s="15" t="s">
        <v>1255</v>
      </c>
      <c r="BY82" s="10"/>
      <c r="BZ82" s="10"/>
      <c r="CA82" s="10"/>
      <c r="CB82" t="b">
        <v>0</v>
      </c>
      <c r="CC82" s="9" t="s">
        <v>308</v>
      </c>
      <c r="CD82" s="9" t="s">
        <v>309</v>
      </c>
    </row>
    <row r="83" spans="1:82">
      <c r="A83" s="8">
        <v>27429</v>
      </c>
      <c r="B83" s="9" t="s">
        <v>1256</v>
      </c>
      <c r="C83" s="9" t="s">
        <v>1257</v>
      </c>
      <c r="D83" s="10">
        <v>45792</v>
      </c>
      <c r="E83" s="9" t="s">
        <v>1258</v>
      </c>
      <c r="F83" s="9" t="s">
        <v>1259</v>
      </c>
      <c r="G83" s="9" t="s">
        <v>1260</v>
      </c>
      <c r="H83" s="9" t="s">
        <v>281</v>
      </c>
      <c r="I83" s="9" t="s">
        <v>282</v>
      </c>
      <c r="J83" s="9" t="s">
        <v>283</v>
      </c>
      <c r="K83" s="9" t="s">
        <v>284</v>
      </c>
      <c r="L83" s="9" t="s">
        <v>1261</v>
      </c>
      <c r="M83" s="9" t="s">
        <v>1262</v>
      </c>
      <c r="N83" s="8">
        <v>1</v>
      </c>
      <c r="O83" s="9" t="s">
        <v>1263</v>
      </c>
      <c r="P83" s="11">
        <v>301</v>
      </c>
      <c r="Q83" s="11">
        <v>250</v>
      </c>
      <c r="R83" s="11">
        <v>249.9</v>
      </c>
      <c r="S83" s="11">
        <v>1136</v>
      </c>
      <c r="T83" s="11">
        <v>341936</v>
      </c>
      <c r="U83" s="12">
        <v>5.3999999999999999E-2</v>
      </c>
      <c r="V83" s="12">
        <v>0.86299999999999999</v>
      </c>
      <c r="W83" s="11">
        <v>1113.0999999999999</v>
      </c>
      <c r="X83" s="9" t="s">
        <v>288</v>
      </c>
      <c r="Y83" s="10">
        <v>44708</v>
      </c>
      <c r="Z83" s="13">
        <v>0.13120000000000001</v>
      </c>
      <c r="AB83" t="b">
        <v>0</v>
      </c>
      <c r="AC83" s="9" t="s">
        <v>289</v>
      </c>
      <c r="AD83" s="9" t="s">
        <v>290</v>
      </c>
      <c r="AE83" s="8">
        <v>1362.1020000000001</v>
      </c>
      <c r="AF83" s="14">
        <v>45.54768</v>
      </c>
      <c r="AG83" s="14">
        <v>3.1864599999999998</v>
      </c>
      <c r="AH83" s="9" t="s">
        <v>483</v>
      </c>
      <c r="AI83" s="15" t="s">
        <v>396</v>
      </c>
      <c r="AJ83" s="9" t="s">
        <v>293</v>
      </c>
      <c r="AK83" s="9" t="s">
        <v>1264</v>
      </c>
      <c r="AL83" s="9" t="s">
        <v>1265</v>
      </c>
      <c r="AM83" s="9"/>
      <c r="AN83" s="9" t="s">
        <v>1266</v>
      </c>
      <c r="AO83" s="9"/>
      <c r="AP83" s="9" t="s">
        <v>68</v>
      </c>
      <c r="AQ83" s="9" t="s">
        <v>298</v>
      </c>
      <c r="AR83" t="b">
        <v>0</v>
      </c>
      <c r="AS83" s="10"/>
      <c r="AT83" s="10" t="s">
        <v>299</v>
      </c>
      <c r="AU83" s="9"/>
      <c r="AV83" t="b">
        <v>0</v>
      </c>
      <c r="AW83" s="12"/>
      <c r="AX83" s="11"/>
      <c r="AY83" s="9"/>
      <c r="AZ83" t="b">
        <v>0</v>
      </c>
      <c r="BA83" s="9"/>
      <c r="BB83" s="12"/>
      <c r="BC83" s="11"/>
      <c r="BD83" s="9" t="s">
        <v>300</v>
      </c>
      <c r="BE83" s="9" t="s">
        <v>47</v>
      </c>
      <c r="BF83" s="9" t="s">
        <v>702</v>
      </c>
      <c r="BG83" s="9" t="s">
        <v>303</v>
      </c>
      <c r="BH83" s="9" t="s">
        <v>304</v>
      </c>
      <c r="BI83" s="9" t="s">
        <v>1267</v>
      </c>
      <c r="BJ83" s="9" t="s">
        <v>1268</v>
      </c>
      <c r="BK83" s="11">
        <v>856</v>
      </c>
      <c r="BL83" s="16">
        <v>175.56700000000001</v>
      </c>
      <c r="BM83" s="10">
        <v>45809</v>
      </c>
      <c r="BN83" s="10">
        <v>45824</v>
      </c>
      <c r="BO83" s="10"/>
      <c r="BP83" s="16"/>
      <c r="BQ83" s="16"/>
      <c r="BR83" s="9"/>
      <c r="BS83" s="9"/>
      <c r="BT83" s="9"/>
      <c r="BU83" s="9"/>
      <c r="BV83" s="9"/>
      <c r="BW83" s="10"/>
      <c r="BX83" s="15" t="s">
        <v>1269</v>
      </c>
      <c r="BY83" s="10"/>
      <c r="BZ83" s="10"/>
      <c r="CA83" s="10"/>
      <c r="CB83" t="b">
        <v>0</v>
      </c>
      <c r="CC83" s="9" t="s">
        <v>308</v>
      </c>
      <c r="CD83" s="9" t="s">
        <v>309</v>
      </c>
    </row>
    <row r="84" spans="1:82">
      <c r="A84" s="8">
        <v>66418</v>
      </c>
      <c r="B84" s="9" t="s">
        <v>1270</v>
      </c>
      <c r="C84" s="9" t="s">
        <v>628</v>
      </c>
      <c r="D84" s="10">
        <v>45791</v>
      </c>
      <c r="E84" s="9" t="s">
        <v>1271</v>
      </c>
      <c r="F84" s="9" t="s">
        <v>1272</v>
      </c>
      <c r="G84" s="9" t="s">
        <v>1273</v>
      </c>
      <c r="H84" s="9" t="s">
        <v>281</v>
      </c>
      <c r="I84" s="9" t="s">
        <v>282</v>
      </c>
      <c r="J84" s="9" t="s">
        <v>283</v>
      </c>
      <c r="K84" s="9" t="s">
        <v>284</v>
      </c>
      <c r="L84" s="9" t="s">
        <v>1274</v>
      </c>
      <c r="M84" s="9" t="s">
        <v>1275</v>
      </c>
      <c r="N84" s="8">
        <v>2</v>
      </c>
      <c r="O84" s="9" t="s">
        <v>1276</v>
      </c>
      <c r="P84" s="11">
        <v>499.59</v>
      </c>
      <c r="Q84" s="11">
        <v>440</v>
      </c>
      <c r="R84" s="11">
        <v>416.6</v>
      </c>
      <c r="S84" s="11">
        <v>1136.4870000000001</v>
      </c>
      <c r="T84" s="11">
        <v>567777.54032999999</v>
      </c>
      <c r="U84" s="12">
        <v>5.3999999999999999E-2</v>
      </c>
      <c r="V84" s="12">
        <v>0.87509999999999999</v>
      </c>
      <c r="W84" s="11">
        <v>1136.3699999999999</v>
      </c>
      <c r="X84" s="9" t="s">
        <v>288</v>
      </c>
      <c r="Y84" s="10">
        <v>45120</v>
      </c>
      <c r="Z84" s="13">
        <v>0.12740000000000001</v>
      </c>
      <c r="AA84" t="b">
        <v>1</v>
      </c>
      <c r="AB84" t="b">
        <v>0</v>
      </c>
      <c r="AC84" s="9" t="s">
        <v>289</v>
      </c>
      <c r="AD84" s="9" t="s">
        <v>290</v>
      </c>
      <c r="AE84" s="8">
        <v>2193.922</v>
      </c>
      <c r="AF84" s="14">
        <v>45.940159999999999</v>
      </c>
      <c r="AG84" s="14">
        <v>4.2273800000000001</v>
      </c>
      <c r="AH84" s="9" t="s">
        <v>524</v>
      </c>
      <c r="AI84" s="15" t="s">
        <v>396</v>
      </c>
      <c r="AJ84" s="9" t="s">
        <v>293</v>
      </c>
      <c r="AK84" s="9" t="s">
        <v>1277</v>
      </c>
      <c r="AL84" s="9" t="s">
        <v>1278</v>
      </c>
      <c r="AM84" s="9"/>
      <c r="AN84" s="9" t="s">
        <v>1279</v>
      </c>
      <c r="AO84" s="9"/>
      <c r="AP84" s="9" t="s">
        <v>68</v>
      </c>
      <c r="AQ84" s="9" t="s">
        <v>355</v>
      </c>
      <c r="AR84" t="b">
        <v>0</v>
      </c>
      <c r="AS84" s="10"/>
      <c r="AT84" s="10" t="s">
        <v>299</v>
      </c>
      <c r="AU84" s="9"/>
      <c r="AV84" t="b">
        <v>0</v>
      </c>
      <c r="AW84" s="12"/>
      <c r="AX84" s="11"/>
      <c r="AY84" s="9"/>
      <c r="AZ84" t="b">
        <v>0</v>
      </c>
      <c r="BA84" s="9"/>
      <c r="BB84" s="12"/>
      <c r="BC84" s="11"/>
      <c r="BD84" s="9" t="s">
        <v>300</v>
      </c>
      <c r="BE84" s="9" t="s">
        <v>47</v>
      </c>
      <c r="BF84" s="9" t="s">
        <v>302</v>
      </c>
      <c r="BG84" s="9" t="s">
        <v>327</v>
      </c>
      <c r="BH84" s="9" t="s">
        <v>304</v>
      </c>
      <c r="BI84" s="9" t="s">
        <v>638</v>
      </c>
      <c r="BJ84" s="9" t="s">
        <v>639</v>
      </c>
      <c r="BK84" s="11">
        <v>856</v>
      </c>
      <c r="BL84" s="16">
        <v>254.74952999999999</v>
      </c>
      <c r="BM84" s="10"/>
      <c r="BN84" s="10"/>
      <c r="BO84" s="10"/>
      <c r="BP84" s="16"/>
      <c r="BQ84" s="16"/>
      <c r="BR84" s="9"/>
      <c r="BS84" s="9"/>
      <c r="BT84" s="9"/>
      <c r="BU84" s="9"/>
      <c r="BV84" s="9"/>
      <c r="BW84" s="10"/>
      <c r="BX84" s="15" t="s">
        <v>1280</v>
      </c>
      <c r="BY84" s="10"/>
      <c r="BZ84" s="10"/>
      <c r="CA84" s="10"/>
      <c r="CB84" t="b">
        <v>0</v>
      </c>
      <c r="CC84" s="9" t="s">
        <v>308</v>
      </c>
      <c r="CD84" s="9" t="s">
        <v>309</v>
      </c>
    </row>
    <row r="85" spans="1:82">
      <c r="A85" s="8">
        <v>58166</v>
      </c>
      <c r="B85" s="9" t="s">
        <v>193</v>
      </c>
      <c r="C85" s="9" t="s">
        <v>277</v>
      </c>
      <c r="D85" s="10">
        <v>45790</v>
      </c>
      <c r="E85" s="9" t="s">
        <v>1281</v>
      </c>
      <c r="F85" s="9" t="s">
        <v>1282</v>
      </c>
      <c r="G85" s="9" t="s">
        <v>1283</v>
      </c>
      <c r="H85" s="9" t="s">
        <v>281</v>
      </c>
      <c r="I85" s="9" t="s">
        <v>282</v>
      </c>
      <c r="J85" s="9" t="s">
        <v>283</v>
      </c>
      <c r="K85" s="9" t="s">
        <v>284</v>
      </c>
      <c r="L85" s="9" t="s">
        <v>1284</v>
      </c>
      <c r="M85" s="9" t="s">
        <v>1285</v>
      </c>
      <c r="N85" s="8">
        <v>1</v>
      </c>
      <c r="O85" s="9" t="s">
        <v>1286</v>
      </c>
      <c r="P85" s="11">
        <v>309.39999999999998</v>
      </c>
      <c r="Q85" s="11">
        <v>250</v>
      </c>
      <c r="R85" s="11">
        <v>249.9</v>
      </c>
      <c r="S85" s="11">
        <v>1145</v>
      </c>
      <c r="T85" s="11">
        <v>354263</v>
      </c>
      <c r="U85" s="12">
        <v>5.3999999999999999E-2</v>
      </c>
      <c r="V85" s="12">
        <v>0.87539999999999996</v>
      </c>
      <c r="W85" s="11">
        <v>1167.83</v>
      </c>
      <c r="X85" s="9" t="s">
        <v>288</v>
      </c>
      <c r="Y85" s="10">
        <v>45118</v>
      </c>
      <c r="Z85" s="13">
        <v>0.12740000000000001</v>
      </c>
      <c r="AB85" t="b">
        <v>0</v>
      </c>
      <c r="AC85" s="9" t="s">
        <v>289</v>
      </c>
      <c r="AD85" s="9" t="s">
        <v>290</v>
      </c>
      <c r="AE85" s="8">
        <v>1358.713</v>
      </c>
      <c r="AF85" s="14">
        <v>45.578949999999999</v>
      </c>
      <c r="AG85" s="14">
        <v>4.2185100000000002</v>
      </c>
      <c r="AH85" s="9" t="s">
        <v>291</v>
      </c>
      <c r="AI85" s="15" t="s">
        <v>396</v>
      </c>
      <c r="AJ85" s="9" t="s">
        <v>293</v>
      </c>
      <c r="AK85" s="9" t="s">
        <v>1287</v>
      </c>
      <c r="AL85" s="9" t="s">
        <v>1288</v>
      </c>
      <c r="AM85" s="9"/>
      <c r="AN85" s="9" t="s">
        <v>1289</v>
      </c>
      <c r="AO85" s="9"/>
      <c r="AP85" s="9" t="s">
        <v>323</v>
      </c>
      <c r="AQ85" s="9" t="s">
        <v>355</v>
      </c>
      <c r="AR85" t="b">
        <v>0</v>
      </c>
      <c r="AS85" s="10"/>
      <c r="AT85" s="10" t="s">
        <v>299</v>
      </c>
      <c r="AU85" s="9"/>
      <c r="AV85" t="b">
        <v>0</v>
      </c>
      <c r="AW85" s="12"/>
      <c r="AX85" s="11"/>
      <c r="AY85" s="9"/>
      <c r="AZ85" t="b">
        <v>0</v>
      </c>
      <c r="BA85" s="9"/>
      <c r="BB85" s="12"/>
      <c r="BC85" s="11"/>
      <c r="BD85" s="9" t="s">
        <v>300</v>
      </c>
      <c r="BE85" s="9" t="s">
        <v>301</v>
      </c>
      <c r="BF85" s="9" t="s">
        <v>402</v>
      </c>
      <c r="BG85" s="9" t="s">
        <v>327</v>
      </c>
      <c r="BH85" s="9" t="s">
        <v>304</v>
      </c>
      <c r="BI85" s="9" t="s">
        <v>305</v>
      </c>
      <c r="BJ85" s="9" t="s">
        <v>306</v>
      </c>
      <c r="BK85" s="11">
        <v>856</v>
      </c>
      <c r="BL85" s="16">
        <v>184.94980000000001</v>
      </c>
      <c r="BM85" s="10">
        <v>45806</v>
      </c>
      <c r="BN85" s="10"/>
      <c r="BO85" s="10"/>
      <c r="BP85" s="16"/>
      <c r="BQ85" s="16"/>
      <c r="BR85" s="9"/>
      <c r="BS85" s="9"/>
      <c r="BT85" s="9"/>
      <c r="BU85" s="9"/>
      <c r="BV85" s="9"/>
      <c r="BW85" s="10"/>
      <c r="BX85" s="15" t="s">
        <v>1290</v>
      </c>
      <c r="BY85" s="10"/>
      <c r="BZ85" s="10"/>
      <c r="CA85" s="10"/>
      <c r="CB85" t="b">
        <v>0</v>
      </c>
      <c r="CC85" s="9" t="s">
        <v>308</v>
      </c>
      <c r="CD85" s="9" t="s">
        <v>309</v>
      </c>
    </row>
    <row r="86" spans="1:82">
      <c r="A86" s="8">
        <v>3292</v>
      </c>
      <c r="B86" s="9" t="s">
        <v>1291</v>
      </c>
      <c r="C86" s="9" t="s">
        <v>1257</v>
      </c>
      <c r="D86" s="10">
        <v>45790</v>
      </c>
      <c r="E86" s="9" t="s">
        <v>1292</v>
      </c>
      <c r="F86" s="9" t="s">
        <v>1293</v>
      </c>
      <c r="G86" s="9" t="s">
        <v>1294</v>
      </c>
      <c r="H86" s="9" t="s">
        <v>281</v>
      </c>
      <c r="I86" s="9" t="s">
        <v>282</v>
      </c>
      <c r="J86" s="9" t="s">
        <v>547</v>
      </c>
      <c r="K86" s="9" t="s">
        <v>284</v>
      </c>
      <c r="L86" s="9" t="s">
        <v>1295</v>
      </c>
      <c r="M86" s="9" t="s">
        <v>1296</v>
      </c>
      <c r="N86" s="8">
        <v>1</v>
      </c>
      <c r="O86" s="9" t="s">
        <v>1297</v>
      </c>
      <c r="P86" s="11">
        <v>238.875</v>
      </c>
      <c r="Q86" s="11">
        <v>220</v>
      </c>
      <c r="R86" s="11">
        <v>193</v>
      </c>
      <c r="S86" s="11">
        <v>1253</v>
      </c>
      <c r="T86" s="11">
        <v>299310.375</v>
      </c>
      <c r="U86" s="12">
        <v>5.3999999999999999E-2</v>
      </c>
      <c r="V86" s="12">
        <v>0.79189944099999998</v>
      </c>
      <c r="W86" s="11">
        <v>1134</v>
      </c>
      <c r="X86" s="9" t="s">
        <v>288</v>
      </c>
      <c r="Y86" s="10">
        <v>45314</v>
      </c>
      <c r="Z86" s="13">
        <v>0.1208</v>
      </c>
      <c r="AA86" t="b">
        <v>1</v>
      </c>
      <c r="AB86" t="b">
        <v>0</v>
      </c>
      <c r="AC86" s="9" t="s">
        <v>289</v>
      </c>
      <c r="AD86" s="9" t="s">
        <v>290</v>
      </c>
      <c r="AE86" s="8">
        <v>1049.0070000000001</v>
      </c>
      <c r="AF86" s="14">
        <v>45.409660000000002</v>
      </c>
      <c r="AG86" s="14">
        <v>1.1479699999999999</v>
      </c>
      <c r="AH86" s="9" t="s">
        <v>483</v>
      </c>
      <c r="AI86" s="15" t="s">
        <v>396</v>
      </c>
      <c r="AJ86" s="9" t="s">
        <v>293</v>
      </c>
      <c r="AK86" s="9" t="s">
        <v>1298</v>
      </c>
      <c r="AL86" s="9" t="s">
        <v>1299</v>
      </c>
      <c r="AM86" s="9"/>
      <c r="AN86" s="9" t="s">
        <v>1300</v>
      </c>
      <c r="AO86" s="9"/>
      <c r="AP86" s="9" t="s">
        <v>371</v>
      </c>
      <c r="AQ86" s="9" t="s">
        <v>355</v>
      </c>
      <c r="AR86" t="b">
        <v>0</v>
      </c>
      <c r="AS86" s="10"/>
      <c r="AT86" s="10" t="s">
        <v>299</v>
      </c>
      <c r="AU86" s="9"/>
      <c r="AV86" t="b">
        <v>0</v>
      </c>
      <c r="AW86" s="12"/>
      <c r="AX86" s="11"/>
      <c r="AY86" s="9"/>
      <c r="AZ86" t="b">
        <v>0</v>
      </c>
      <c r="BA86" s="9"/>
      <c r="BB86" s="12"/>
      <c r="BC86" s="11"/>
      <c r="BD86" s="9" t="s">
        <v>325</v>
      </c>
      <c r="BE86" s="9" t="s">
        <v>47</v>
      </c>
      <c r="BF86" s="9" t="s">
        <v>373</v>
      </c>
      <c r="BG86" s="9" t="s">
        <v>749</v>
      </c>
      <c r="BH86" s="9" t="s">
        <v>304</v>
      </c>
      <c r="BI86" s="9" t="s">
        <v>1267</v>
      </c>
      <c r="BJ86" s="9" t="s">
        <v>1268</v>
      </c>
      <c r="BK86" s="11">
        <v>856</v>
      </c>
      <c r="BL86" s="16">
        <v>152.76712499999999</v>
      </c>
      <c r="BM86" s="10">
        <v>45806</v>
      </c>
      <c r="BN86" s="10">
        <v>45926</v>
      </c>
      <c r="BO86" s="10"/>
      <c r="BP86" s="16"/>
      <c r="BQ86" s="16"/>
      <c r="BR86" s="9" t="s">
        <v>1301</v>
      </c>
      <c r="BS86" s="9" t="s">
        <v>1302</v>
      </c>
      <c r="BT86" s="9" t="s">
        <v>1294</v>
      </c>
      <c r="BU86" s="9" t="s">
        <v>1293</v>
      </c>
      <c r="BV86" s="9" t="s">
        <v>1303</v>
      </c>
      <c r="BW86" s="10"/>
      <c r="BX86" s="15" t="s">
        <v>1304</v>
      </c>
      <c r="BY86" s="10"/>
      <c r="BZ86" s="10"/>
      <c r="CA86" s="10"/>
      <c r="CB86" t="b">
        <v>0</v>
      </c>
      <c r="CC86" s="9" t="s">
        <v>308</v>
      </c>
      <c r="CD86" s="9" t="s">
        <v>309</v>
      </c>
    </row>
    <row r="87" spans="1:82">
      <c r="A87" s="8">
        <v>97374</v>
      </c>
      <c r="B87" s="9" t="s">
        <v>1305</v>
      </c>
      <c r="C87" s="9" t="s">
        <v>277</v>
      </c>
      <c r="D87" s="10">
        <v>45789</v>
      </c>
      <c r="E87" s="9" t="s">
        <v>1306</v>
      </c>
      <c r="F87" s="9" t="s">
        <v>1307</v>
      </c>
      <c r="G87" s="9" t="s">
        <v>1308</v>
      </c>
      <c r="H87" s="9" t="s">
        <v>315</v>
      </c>
      <c r="I87" s="9" t="s">
        <v>282</v>
      </c>
      <c r="J87" s="9" t="s">
        <v>283</v>
      </c>
      <c r="K87" s="9" t="s">
        <v>284</v>
      </c>
      <c r="L87" s="9" t="s">
        <v>1309</v>
      </c>
      <c r="M87" s="9" t="s">
        <v>1310</v>
      </c>
      <c r="N87" s="8">
        <v>1</v>
      </c>
      <c r="O87" s="9" t="s">
        <v>1311</v>
      </c>
      <c r="P87" s="11">
        <v>159.70500000000001</v>
      </c>
      <c r="Q87" s="11">
        <v>125</v>
      </c>
      <c r="R87" s="11">
        <v>112.4</v>
      </c>
      <c r="S87" s="11">
        <v>1109</v>
      </c>
      <c r="T87" s="11">
        <v>177112.845</v>
      </c>
      <c r="U87" s="12">
        <v>5.3999999999999999E-2</v>
      </c>
      <c r="V87" s="12">
        <v>0.87060000000000004</v>
      </c>
      <c r="W87" s="11">
        <v>1163.8900000000001</v>
      </c>
      <c r="X87" s="9" t="s">
        <v>288</v>
      </c>
      <c r="Y87" s="10">
        <v>45016</v>
      </c>
      <c r="Z87" s="13">
        <v>0.13120000000000001</v>
      </c>
      <c r="AB87" t="b">
        <v>0</v>
      </c>
      <c r="AC87" s="9" t="s">
        <v>289</v>
      </c>
      <c r="AD87" s="9" t="s">
        <v>290</v>
      </c>
      <c r="AE87" s="8">
        <v>701.33600000000001</v>
      </c>
      <c r="AF87" s="14">
        <v>44.256160000000001</v>
      </c>
      <c r="AG87" s="14">
        <v>1.0390900000000001</v>
      </c>
      <c r="AH87" s="9" t="s">
        <v>291</v>
      </c>
      <c r="AI87" s="15" t="s">
        <v>396</v>
      </c>
      <c r="AJ87" s="9" t="s">
        <v>293</v>
      </c>
      <c r="AK87" s="9" t="s">
        <v>1312</v>
      </c>
      <c r="AL87" s="9" t="s">
        <v>1313</v>
      </c>
      <c r="AM87" s="9"/>
      <c r="AN87" s="9" t="s">
        <v>1314</v>
      </c>
      <c r="AO87" s="9"/>
      <c r="AP87" s="9" t="s">
        <v>371</v>
      </c>
      <c r="AQ87" s="9" t="s">
        <v>341</v>
      </c>
      <c r="AR87" t="b">
        <v>1</v>
      </c>
      <c r="AS87" s="10">
        <v>46022</v>
      </c>
      <c r="AT87" s="10">
        <v>46022</v>
      </c>
      <c r="AU87" s="9" t="s">
        <v>1139</v>
      </c>
      <c r="AV87" t="b">
        <v>1</v>
      </c>
      <c r="AW87" s="12"/>
      <c r="AX87" s="11">
        <v>5160</v>
      </c>
      <c r="AY87" s="9" t="s">
        <v>471</v>
      </c>
      <c r="AZ87" t="b">
        <v>1</v>
      </c>
      <c r="BA87" s="9" t="s">
        <v>472</v>
      </c>
      <c r="BB87" s="12"/>
      <c r="BC87" s="11">
        <v>5160</v>
      </c>
      <c r="BD87" s="9" t="s">
        <v>325</v>
      </c>
      <c r="BE87" s="9" t="s">
        <v>301</v>
      </c>
      <c r="BF87" s="9" t="s">
        <v>373</v>
      </c>
      <c r="BG87" s="9" t="s">
        <v>749</v>
      </c>
      <c r="BH87" s="9" t="s">
        <v>304</v>
      </c>
      <c r="BI87" s="9" t="s">
        <v>305</v>
      </c>
      <c r="BJ87" s="9" t="s">
        <v>306</v>
      </c>
      <c r="BK87" s="11">
        <v>856</v>
      </c>
      <c r="BL87" s="16">
        <v>130.01173499999999</v>
      </c>
      <c r="BM87" s="10"/>
      <c r="BN87" s="10"/>
      <c r="BO87" s="10"/>
      <c r="BP87" s="16"/>
      <c r="BQ87" s="16"/>
      <c r="BR87" s="9" t="s">
        <v>1315</v>
      </c>
      <c r="BS87" s="9" t="s">
        <v>1316</v>
      </c>
      <c r="BT87" s="9" t="s">
        <v>1317</v>
      </c>
      <c r="BU87" s="9" t="s">
        <v>1307</v>
      </c>
      <c r="BV87" s="9"/>
      <c r="BW87" s="10"/>
      <c r="BX87" s="15" t="s">
        <v>1318</v>
      </c>
      <c r="BY87" s="10"/>
      <c r="BZ87" s="10"/>
      <c r="CA87" s="10"/>
      <c r="CB87" t="b">
        <v>0</v>
      </c>
      <c r="CC87" s="9" t="s">
        <v>308</v>
      </c>
      <c r="CD87" s="9" t="s">
        <v>309</v>
      </c>
    </row>
    <row r="88" spans="1:82">
      <c r="A88" s="8">
        <v>95190</v>
      </c>
      <c r="B88" s="9" t="s">
        <v>1319</v>
      </c>
      <c r="C88" s="9" t="s">
        <v>277</v>
      </c>
      <c r="D88" s="10">
        <v>45786</v>
      </c>
      <c r="E88" s="9" t="s">
        <v>1320</v>
      </c>
      <c r="F88" s="9" t="s">
        <v>1321</v>
      </c>
      <c r="G88" s="9" t="s">
        <v>1322</v>
      </c>
      <c r="H88" s="9" t="s">
        <v>281</v>
      </c>
      <c r="I88" s="9" t="s">
        <v>282</v>
      </c>
      <c r="J88" s="9" t="s">
        <v>283</v>
      </c>
      <c r="K88" s="9" t="s">
        <v>284</v>
      </c>
      <c r="L88" s="9" t="s">
        <v>1323</v>
      </c>
      <c r="M88" s="9" t="s">
        <v>1324</v>
      </c>
      <c r="N88" s="8">
        <v>2</v>
      </c>
      <c r="O88" s="9" t="s">
        <v>1325</v>
      </c>
      <c r="P88" s="11">
        <v>499.59</v>
      </c>
      <c r="Q88" s="11">
        <v>440</v>
      </c>
      <c r="R88" s="11">
        <v>410.4</v>
      </c>
      <c r="S88" s="11">
        <v>1050.4100000000001</v>
      </c>
      <c r="T88" s="11">
        <v>524774.33189999999</v>
      </c>
      <c r="U88" s="12">
        <v>5.3999999999999999E-2</v>
      </c>
      <c r="V88" s="12">
        <v>0.87129999999999996</v>
      </c>
      <c r="W88" s="11">
        <v>1261.54</v>
      </c>
      <c r="X88" s="9" t="s">
        <v>288</v>
      </c>
      <c r="Y88" s="10">
        <v>45043</v>
      </c>
      <c r="Z88" s="13">
        <v>0.13120000000000001</v>
      </c>
      <c r="AB88" t="b">
        <v>0</v>
      </c>
      <c r="AC88" s="9" t="s">
        <v>289</v>
      </c>
      <c r="AD88" s="9" t="s">
        <v>290</v>
      </c>
      <c r="AE88" s="8">
        <v>2193.9229999999998</v>
      </c>
      <c r="AF88" s="14">
        <v>43.821649999999998</v>
      </c>
      <c r="AG88" s="14">
        <v>0.66652</v>
      </c>
      <c r="AH88" s="9" t="s">
        <v>291</v>
      </c>
      <c r="AI88" s="15" t="s">
        <v>319</v>
      </c>
      <c r="AJ88" s="9" t="s">
        <v>293</v>
      </c>
      <c r="AK88" s="9" t="s">
        <v>1326</v>
      </c>
      <c r="AL88" s="9" t="s">
        <v>1327</v>
      </c>
      <c r="AM88" s="9"/>
      <c r="AN88" s="9" t="s">
        <v>1328</v>
      </c>
      <c r="AO88" s="9"/>
      <c r="AP88" s="9" t="s">
        <v>371</v>
      </c>
      <c r="AQ88" s="9" t="s">
        <v>372</v>
      </c>
      <c r="AR88" t="b">
        <v>0</v>
      </c>
      <c r="AS88" s="10"/>
      <c r="AT88" s="10" t="s">
        <v>299</v>
      </c>
      <c r="AU88" s="9"/>
      <c r="AV88" t="b">
        <v>0</v>
      </c>
      <c r="AW88" s="12"/>
      <c r="AX88" s="11"/>
      <c r="AY88" s="9"/>
      <c r="AZ88" t="b">
        <v>0</v>
      </c>
      <c r="BA88" s="9"/>
      <c r="BB88" s="12"/>
      <c r="BC88" s="11"/>
      <c r="BD88" s="9" t="s">
        <v>325</v>
      </c>
      <c r="BE88" s="9" t="s">
        <v>301</v>
      </c>
      <c r="BF88" s="9" t="s">
        <v>373</v>
      </c>
      <c r="BG88" s="9" t="s">
        <v>749</v>
      </c>
      <c r="BH88" s="9" t="s">
        <v>304</v>
      </c>
      <c r="BI88" s="9" t="s">
        <v>305</v>
      </c>
      <c r="BJ88" s="9" t="s">
        <v>306</v>
      </c>
      <c r="BK88" s="11">
        <v>856</v>
      </c>
      <c r="BL88" s="16">
        <v>254.74952999999999</v>
      </c>
      <c r="BM88" s="10"/>
      <c r="BN88" s="10"/>
      <c r="BO88" s="10"/>
      <c r="BP88" s="16"/>
      <c r="BQ88" s="16"/>
      <c r="BR88" s="9" t="s">
        <v>1329</v>
      </c>
      <c r="BS88" s="9" t="s">
        <v>1330</v>
      </c>
      <c r="BT88" s="9" t="s">
        <v>1322</v>
      </c>
      <c r="BU88" s="9" t="s">
        <v>1321</v>
      </c>
      <c r="BV88" s="9"/>
      <c r="BW88" s="10"/>
      <c r="BX88" s="15" t="s">
        <v>1331</v>
      </c>
      <c r="BY88" s="10"/>
      <c r="BZ88" s="10"/>
      <c r="CA88" s="10"/>
      <c r="CB88" t="b">
        <v>0</v>
      </c>
      <c r="CC88" s="9" t="s">
        <v>308</v>
      </c>
      <c r="CD88" s="9" t="s">
        <v>309</v>
      </c>
    </row>
    <row r="89" spans="1:82">
      <c r="A89" s="8">
        <v>58178</v>
      </c>
      <c r="B89" s="9" t="s">
        <v>1332</v>
      </c>
      <c r="C89" s="9" t="s">
        <v>377</v>
      </c>
      <c r="D89" s="10">
        <v>45786</v>
      </c>
      <c r="E89" s="9" t="s">
        <v>1333</v>
      </c>
      <c r="F89" s="9" t="s">
        <v>717</v>
      </c>
      <c r="G89" s="9" t="s">
        <v>1332</v>
      </c>
      <c r="H89" s="9" t="s">
        <v>281</v>
      </c>
      <c r="I89" s="9" t="s">
        <v>282</v>
      </c>
      <c r="J89" s="9" t="s">
        <v>719</v>
      </c>
      <c r="K89" s="9" t="s">
        <v>284</v>
      </c>
      <c r="L89" s="9" t="s">
        <v>1334</v>
      </c>
      <c r="M89" s="9" t="s">
        <v>1335</v>
      </c>
      <c r="N89" s="8">
        <v>1</v>
      </c>
      <c r="O89" s="9" t="s">
        <v>1336</v>
      </c>
      <c r="P89" s="11">
        <v>328</v>
      </c>
      <c r="Q89" s="11">
        <v>249</v>
      </c>
      <c r="R89" s="11">
        <v>249</v>
      </c>
      <c r="S89" s="11">
        <v>1192</v>
      </c>
      <c r="T89" s="11">
        <v>390976</v>
      </c>
      <c r="U89" s="12">
        <v>5.3999999999999999E-2</v>
      </c>
      <c r="V89" s="12">
        <v>0.86360000000000003</v>
      </c>
      <c r="W89" s="11">
        <v>1214.6099999999999</v>
      </c>
      <c r="X89" s="9" t="s">
        <v>288</v>
      </c>
      <c r="Y89" s="10">
        <v>45313</v>
      </c>
      <c r="Z89" s="13">
        <v>0.12089999999999999</v>
      </c>
      <c r="AB89" t="b">
        <v>0</v>
      </c>
      <c r="AC89" s="9" t="s">
        <v>289</v>
      </c>
      <c r="AD89" s="9" t="s">
        <v>290</v>
      </c>
      <c r="AE89" s="8">
        <v>1439</v>
      </c>
      <c r="AF89" s="14">
        <v>43.124000000000002</v>
      </c>
      <c r="AG89" s="14">
        <v>2.3223099999999999</v>
      </c>
      <c r="AH89" s="9" t="s">
        <v>291</v>
      </c>
      <c r="AI89" s="15" t="s">
        <v>1337</v>
      </c>
      <c r="AJ89" s="9" t="s">
        <v>293</v>
      </c>
      <c r="AK89" s="9" t="s">
        <v>1338</v>
      </c>
      <c r="AL89" s="9" t="s">
        <v>1339</v>
      </c>
      <c r="AM89" s="9"/>
      <c r="AN89" s="9" t="s">
        <v>1340</v>
      </c>
      <c r="AO89" s="9"/>
      <c r="AP89" s="9" t="s">
        <v>469</v>
      </c>
      <c r="AQ89" s="9" t="s">
        <v>1341</v>
      </c>
      <c r="AR89" t="b">
        <v>1</v>
      </c>
      <c r="AS89" s="10">
        <v>45657</v>
      </c>
      <c r="AT89" s="10">
        <v>46022</v>
      </c>
      <c r="AU89" s="9" t="s">
        <v>1139</v>
      </c>
      <c r="AV89" t="b">
        <v>0</v>
      </c>
      <c r="AW89" s="12"/>
      <c r="AX89" s="11">
        <v>4500</v>
      </c>
      <c r="AY89" s="9" t="s">
        <v>471</v>
      </c>
      <c r="AZ89" t="b">
        <v>1</v>
      </c>
      <c r="BA89" s="9" t="s">
        <v>472</v>
      </c>
      <c r="BB89" s="12"/>
      <c r="BC89" s="11">
        <v>4500</v>
      </c>
      <c r="BD89" s="9" t="s">
        <v>325</v>
      </c>
      <c r="BE89" s="9" t="s">
        <v>301</v>
      </c>
      <c r="BF89" s="9" t="s">
        <v>702</v>
      </c>
      <c r="BG89" s="9" t="s">
        <v>738</v>
      </c>
      <c r="BH89" s="9" t="s">
        <v>304</v>
      </c>
      <c r="BI89" s="9" t="s">
        <v>386</v>
      </c>
      <c r="BJ89" s="9" t="s">
        <v>387</v>
      </c>
      <c r="BK89" s="11">
        <v>856</v>
      </c>
      <c r="BL89" s="16">
        <v>191.77600000000001</v>
      </c>
      <c r="BM89" s="10">
        <v>45786</v>
      </c>
      <c r="BN89" s="10"/>
      <c r="BO89" s="10"/>
      <c r="BP89" s="16"/>
      <c r="BQ89" s="16"/>
      <c r="BR89" s="9"/>
      <c r="BS89" s="9"/>
      <c r="BT89" s="9"/>
      <c r="BU89" s="9"/>
      <c r="BV89" s="9"/>
      <c r="BW89" s="10"/>
      <c r="BX89" s="15" t="s">
        <v>1342</v>
      </c>
      <c r="BY89" s="10"/>
      <c r="BZ89" s="10"/>
      <c r="CA89" s="10"/>
      <c r="CB89" t="b">
        <v>1</v>
      </c>
      <c r="CC89" s="9" t="s">
        <v>308</v>
      </c>
      <c r="CD89" s="9" t="s">
        <v>309</v>
      </c>
    </row>
    <row r="90" spans="1:82">
      <c r="A90" s="8">
        <v>83705</v>
      </c>
      <c r="B90" s="9" t="s">
        <v>1343</v>
      </c>
      <c r="C90" s="9" t="s">
        <v>377</v>
      </c>
      <c r="D90" s="10">
        <v>45783</v>
      </c>
      <c r="E90" s="9" t="s">
        <v>1344</v>
      </c>
      <c r="F90" s="9" t="s">
        <v>1345</v>
      </c>
      <c r="G90" s="9" t="s">
        <v>1346</v>
      </c>
      <c r="H90" s="9" t="s">
        <v>281</v>
      </c>
      <c r="I90" s="9" t="s">
        <v>282</v>
      </c>
      <c r="J90" s="9" t="s">
        <v>283</v>
      </c>
      <c r="K90" s="9" t="s">
        <v>284</v>
      </c>
      <c r="L90" s="9" t="s">
        <v>1347</v>
      </c>
      <c r="M90" s="9" t="s">
        <v>1348</v>
      </c>
      <c r="N90" s="8">
        <v>1</v>
      </c>
      <c r="O90" s="9" t="s">
        <v>1349</v>
      </c>
      <c r="P90" s="11">
        <v>319</v>
      </c>
      <c r="Q90" s="11">
        <v>253</v>
      </c>
      <c r="R90" s="11">
        <v>249</v>
      </c>
      <c r="S90" s="11">
        <v>1228</v>
      </c>
      <c r="T90" s="11">
        <v>391732</v>
      </c>
      <c r="U90" s="12">
        <v>5.3999999999999999E-2</v>
      </c>
      <c r="V90" s="12">
        <v>0.86899999999999999</v>
      </c>
      <c r="W90" s="11">
        <v>1212.2</v>
      </c>
      <c r="X90" s="9" t="s">
        <v>288</v>
      </c>
      <c r="Y90" s="10">
        <v>44854</v>
      </c>
      <c r="Z90" s="13">
        <v>0.13120000000000001</v>
      </c>
      <c r="AB90" t="b">
        <v>0</v>
      </c>
      <c r="AC90" s="9" t="s">
        <v>289</v>
      </c>
      <c r="AD90" s="9" t="s">
        <v>290</v>
      </c>
      <c r="AE90" s="8">
        <v>1403</v>
      </c>
      <c r="AF90" s="14">
        <v>44.257860000000001</v>
      </c>
      <c r="AG90" s="14">
        <v>2.4578700000000002</v>
      </c>
      <c r="AH90" s="9" t="s">
        <v>291</v>
      </c>
      <c r="AI90" s="15" t="s">
        <v>319</v>
      </c>
      <c r="AJ90" s="9" t="s">
        <v>293</v>
      </c>
      <c r="AK90" s="9" t="s">
        <v>1350</v>
      </c>
      <c r="AL90" s="9" t="s">
        <v>1351</v>
      </c>
      <c r="AM90" s="9"/>
      <c r="AN90" s="9" t="s">
        <v>1352</v>
      </c>
      <c r="AO90" s="9" t="s">
        <v>1353</v>
      </c>
      <c r="AP90" s="9" t="s">
        <v>323</v>
      </c>
      <c r="AQ90" s="9" t="s">
        <v>298</v>
      </c>
      <c r="AR90" t="b">
        <v>0</v>
      </c>
      <c r="AS90" s="10"/>
      <c r="AT90" s="10" t="s">
        <v>299</v>
      </c>
      <c r="AU90" s="9"/>
      <c r="AV90" t="b">
        <v>0</v>
      </c>
      <c r="AW90" s="12"/>
      <c r="AX90" s="11"/>
      <c r="AY90" s="9"/>
      <c r="AZ90" t="b">
        <v>0</v>
      </c>
      <c r="BA90" s="9"/>
      <c r="BB90" s="12"/>
      <c r="BC90" s="11"/>
      <c r="BD90" s="9" t="s">
        <v>325</v>
      </c>
      <c r="BE90" s="9" t="s">
        <v>301</v>
      </c>
      <c r="BF90" s="9" t="s">
        <v>356</v>
      </c>
      <c r="BG90" s="9" t="s">
        <v>416</v>
      </c>
      <c r="BH90" s="9" t="s">
        <v>304</v>
      </c>
      <c r="BI90" s="9" t="s">
        <v>386</v>
      </c>
      <c r="BJ90" s="9" t="s">
        <v>387</v>
      </c>
      <c r="BK90" s="11">
        <v>856</v>
      </c>
      <c r="BL90" s="16">
        <v>188.47300000000001</v>
      </c>
      <c r="BM90" s="10"/>
      <c r="BN90" s="10"/>
      <c r="BO90" s="10"/>
      <c r="BP90" s="16"/>
      <c r="BQ90" s="16">
        <v>7578.67</v>
      </c>
      <c r="BR90" s="9" t="s">
        <v>1354</v>
      </c>
      <c r="BS90" s="9" t="s">
        <v>1355</v>
      </c>
      <c r="BT90" s="9" t="s">
        <v>1356</v>
      </c>
      <c r="BU90" s="9" t="s">
        <v>1345</v>
      </c>
      <c r="BV90" s="9"/>
      <c r="BW90" s="10"/>
      <c r="BX90" s="15" t="s">
        <v>1357</v>
      </c>
      <c r="BY90" s="10"/>
      <c r="BZ90" s="10"/>
      <c r="CA90" s="10"/>
      <c r="CB90" t="b">
        <v>0</v>
      </c>
      <c r="CC90" s="9" t="s">
        <v>308</v>
      </c>
      <c r="CD90" s="9" t="s">
        <v>309</v>
      </c>
    </row>
    <row r="91" spans="1:82">
      <c r="A91" s="8">
        <v>95683</v>
      </c>
      <c r="B91" s="9" t="s">
        <v>1358</v>
      </c>
      <c r="C91" s="9" t="s">
        <v>1204</v>
      </c>
      <c r="D91" s="10">
        <v>45783</v>
      </c>
      <c r="E91" s="9" t="s">
        <v>1359</v>
      </c>
      <c r="F91" s="9" t="s">
        <v>1168</v>
      </c>
      <c r="G91" s="9" t="s">
        <v>1169</v>
      </c>
      <c r="H91" s="9" t="s">
        <v>315</v>
      </c>
      <c r="I91" s="9" t="s">
        <v>282</v>
      </c>
      <c r="J91" s="9" t="s">
        <v>283</v>
      </c>
      <c r="K91" s="9" t="s">
        <v>284</v>
      </c>
      <c r="L91" s="9" t="s">
        <v>1360</v>
      </c>
      <c r="M91" s="9" t="s">
        <v>1361</v>
      </c>
      <c r="N91" s="8">
        <v>2</v>
      </c>
      <c r="O91" s="9" t="s">
        <v>1362</v>
      </c>
      <c r="P91" s="11">
        <v>353.99</v>
      </c>
      <c r="Q91" s="11">
        <v>330</v>
      </c>
      <c r="R91" s="11">
        <v>284.89999999999998</v>
      </c>
      <c r="S91" s="11">
        <v>1111</v>
      </c>
      <c r="T91" s="11">
        <v>393282.89</v>
      </c>
      <c r="U91" s="12">
        <v>5.3999999999999999E-2</v>
      </c>
      <c r="V91" s="12">
        <v>0.86299999999999999</v>
      </c>
      <c r="W91" s="11">
        <v>1081.7</v>
      </c>
      <c r="X91" s="9" t="s">
        <v>288</v>
      </c>
      <c r="Y91" s="10">
        <v>44977</v>
      </c>
      <c r="Z91" s="13">
        <v>0.13120000000000001</v>
      </c>
      <c r="AB91" t="b">
        <v>0</v>
      </c>
      <c r="AC91" s="9" t="s">
        <v>289</v>
      </c>
      <c r="AD91" s="9" t="s">
        <v>290</v>
      </c>
      <c r="AE91" s="8">
        <v>1554</v>
      </c>
      <c r="AF91" s="14">
        <v>46.198219999999999</v>
      </c>
      <c r="AG91" s="14">
        <v>1.66066</v>
      </c>
      <c r="AH91" s="9" t="s">
        <v>483</v>
      </c>
      <c r="AI91" s="15" t="s">
        <v>319</v>
      </c>
      <c r="AJ91" s="9" t="s">
        <v>293</v>
      </c>
      <c r="AK91" s="9" t="s">
        <v>1363</v>
      </c>
      <c r="AL91" s="9" t="s">
        <v>1364</v>
      </c>
      <c r="AM91" s="9"/>
      <c r="AN91" s="9" t="s">
        <v>1365</v>
      </c>
      <c r="AO91" s="9"/>
      <c r="AP91" s="9" t="s">
        <v>108</v>
      </c>
      <c r="AQ91" s="9" t="s">
        <v>1212</v>
      </c>
      <c r="AR91" t="b">
        <v>1</v>
      </c>
      <c r="AS91" s="10">
        <v>46022</v>
      </c>
      <c r="AT91" s="10">
        <v>46022</v>
      </c>
      <c r="AU91" s="9" t="s">
        <v>612</v>
      </c>
      <c r="AV91" t="b">
        <v>0</v>
      </c>
      <c r="AW91" s="12"/>
      <c r="AX91" s="11">
        <v>1200</v>
      </c>
      <c r="AY91" s="9"/>
      <c r="AZ91" t="b">
        <v>0</v>
      </c>
      <c r="BA91" s="9"/>
      <c r="BB91" s="12"/>
      <c r="BC91" s="11"/>
      <c r="BD91" s="9" t="s">
        <v>325</v>
      </c>
      <c r="BE91" s="9" t="s">
        <v>86</v>
      </c>
      <c r="BF91" s="9" t="s">
        <v>356</v>
      </c>
      <c r="BG91" s="9" t="s">
        <v>529</v>
      </c>
      <c r="BH91" s="9" t="s">
        <v>304</v>
      </c>
      <c r="BI91" s="9" t="s">
        <v>1213</v>
      </c>
      <c r="BJ91" s="9" t="s">
        <v>1214</v>
      </c>
      <c r="BK91" s="11">
        <v>856</v>
      </c>
      <c r="BL91" s="16">
        <v>195.01433</v>
      </c>
      <c r="BM91" s="10">
        <v>45799</v>
      </c>
      <c r="BN91" s="10">
        <v>45826</v>
      </c>
      <c r="BO91" s="10"/>
      <c r="BP91" s="16"/>
      <c r="BQ91" s="16"/>
      <c r="BR91" s="9" t="s">
        <v>1366</v>
      </c>
      <c r="BS91" s="9" t="s">
        <v>1367</v>
      </c>
      <c r="BT91" s="9" t="s">
        <v>1368</v>
      </c>
      <c r="BU91" s="9" t="s">
        <v>1168</v>
      </c>
      <c r="BV91" s="9"/>
      <c r="BW91" s="10"/>
      <c r="BX91" s="15" t="s">
        <v>319</v>
      </c>
      <c r="BY91" s="10"/>
      <c r="BZ91" s="10"/>
      <c r="CA91" s="10"/>
      <c r="CB91" t="b">
        <v>0</v>
      </c>
      <c r="CC91" s="9" t="s">
        <v>308</v>
      </c>
      <c r="CD91" s="9" t="s">
        <v>309</v>
      </c>
    </row>
    <row r="92" spans="1:82">
      <c r="A92" s="8">
        <v>49018</v>
      </c>
      <c r="B92" s="9" t="s">
        <v>1369</v>
      </c>
      <c r="C92" s="9" t="s">
        <v>970</v>
      </c>
      <c r="D92" s="10">
        <v>45782</v>
      </c>
      <c r="E92" s="9" t="s">
        <v>1370</v>
      </c>
      <c r="F92" s="9" t="s">
        <v>997</v>
      </c>
      <c r="G92" s="9" t="s">
        <v>1371</v>
      </c>
      <c r="H92" s="9" t="s">
        <v>281</v>
      </c>
      <c r="I92" s="9" t="s">
        <v>282</v>
      </c>
      <c r="J92" s="9" t="s">
        <v>283</v>
      </c>
      <c r="K92" s="9" t="s">
        <v>284</v>
      </c>
      <c r="L92" s="9" t="s">
        <v>1372</v>
      </c>
      <c r="M92" s="9" t="s">
        <v>1373</v>
      </c>
      <c r="N92" s="8">
        <v>1</v>
      </c>
      <c r="O92" s="9" t="s">
        <v>1374</v>
      </c>
      <c r="P92" s="11">
        <v>222.5</v>
      </c>
      <c r="Q92" s="11">
        <v>165</v>
      </c>
      <c r="R92" s="11">
        <v>190.7</v>
      </c>
      <c r="S92" s="11">
        <v>1310</v>
      </c>
      <c r="T92" s="11">
        <v>291475</v>
      </c>
      <c r="U92" s="12">
        <v>3.3000000000000002E-2</v>
      </c>
      <c r="V92" s="12">
        <v>0.83799999999999997</v>
      </c>
      <c r="W92" s="11">
        <v>1289.3</v>
      </c>
      <c r="X92" s="9" t="s">
        <v>288</v>
      </c>
      <c r="Y92" s="10">
        <v>45161</v>
      </c>
      <c r="Z92" s="13">
        <v>0.12379999999999999</v>
      </c>
      <c r="AB92" t="b">
        <v>0</v>
      </c>
      <c r="AC92" s="9" t="s">
        <v>289</v>
      </c>
      <c r="AD92" s="9" t="s">
        <v>290</v>
      </c>
      <c r="AE92" s="8">
        <v>989.44</v>
      </c>
      <c r="AF92" s="14">
        <v>44.321260000000002</v>
      </c>
      <c r="AG92" s="14">
        <v>5.3117999999999999</v>
      </c>
      <c r="AH92" s="9" t="s">
        <v>483</v>
      </c>
      <c r="AI92" s="15" t="s">
        <v>319</v>
      </c>
      <c r="AJ92" s="9" t="s">
        <v>293</v>
      </c>
      <c r="AK92" s="9" t="s">
        <v>1375</v>
      </c>
      <c r="AL92" s="9" t="s">
        <v>1376</v>
      </c>
      <c r="AM92" s="9" t="s">
        <v>1377</v>
      </c>
      <c r="AN92" s="9" t="s">
        <v>1378</v>
      </c>
      <c r="AO92" s="9" t="s">
        <v>1379</v>
      </c>
      <c r="AP92" s="9" t="s">
        <v>139</v>
      </c>
      <c r="AQ92" s="9" t="s">
        <v>372</v>
      </c>
      <c r="AR92" t="b">
        <v>0</v>
      </c>
      <c r="AS92" s="10"/>
      <c r="AT92" s="10" t="s">
        <v>299</v>
      </c>
      <c r="AU92" s="9"/>
      <c r="AV92" t="b">
        <v>0</v>
      </c>
      <c r="AW92" s="12"/>
      <c r="AX92" s="11"/>
      <c r="AY92" s="9"/>
      <c r="AZ92" t="b">
        <v>0</v>
      </c>
      <c r="BA92" s="9"/>
      <c r="BB92" s="12"/>
      <c r="BC92" s="11"/>
      <c r="BD92" s="9" t="s">
        <v>300</v>
      </c>
      <c r="BE92" s="9" t="s">
        <v>301</v>
      </c>
      <c r="BF92" s="9" t="s">
        <v>302</v>
      </c>
      <c r="BG92" s="9" t="s">
        <v>967</v>
      </c>
      <c r="BH92" s="9" t="s">
        <v>304</v>
      </c>
      <c r="BI92" s="9" t="s">
        <v>981</v>
      </c>
      <c r="BJ92" s="9" t="s">
        <v>982</v>
      </c>
      <c r="BK92" s="11">
        <v>856</v>
      </c>
      <c r="BL92" s="16">
        <v>146.75749999999999</v>
      </c>
      <c r="BM92" s="10">
        <v>45798</v>
      </c>
      <c r="BN92" s="10">
        <v>45800</v>
      </c>
      <c r="BO92" s="10"/>
      <c r="BP92" s="16"/>
      <c r="BQ92" s="16"/>
      <c r="BR92" s="9" t="s">
        <v>1380</v>
      </c>
      <c r="BS92" s="9" t="s">
        <v>1381</v>
      </c>
      <c r="BT92" s="9" t="s">
        <v>1382</v>
      </c>
      <c r="BU92" s="9" t="s">
        <v>997</v>
      </c>
      <c r="BV92" s="9"/>
      <c r="BW92" s="10"/>
      <c r="BX92" s="15" t="s">
        <v>1383</v>
      </c>
      <c r="BY92" s="10"/>
      <c r="BZ92" s="10"/>
      <c r="CA92" s="10"/>
      <c r="CB92" t="b">
        <v>0</v>
      </c>
      <c r="CC92" s="9" t="s">
        <v>308</v>
      </c>
      <c r="CD92" s="9" t="s">
        <v>309</v>
      </c>
    </row>
    <row r="93" spans="1:82">
      <c r="A93" s="8">
        <v>96017</v>
      </c>
      <c r="B93" s="9" t="s">
        <v>1384</v>
      </c>
      <c r="C93" s="9" t="s">
        <v>377</v>
      </c>
      <c r="D93" s="10">
        <v>45777</v>
      </c>
      <c r="E93" s="9" t="s">
        <v>1385</v>
      </c>
      <c r="F93" s="9" t="s">
        <v>1386</v>
      </c>
      <c r="G93" s="9" t="s">
        <v>1387</v>
      </c>
      <c r="H93" s="9" t="s">
        <v>315</v>
      </c>
      <c r="I93" s="9" t="s">
        <v>282</v>
      </c>
      <c r="J93" s="9" t="s">
        <v>283</v>
      </c>
      <c r="K93" s="9" t="s">
        <v>284</v>
      </c>
      <c r="L93" s="9" t="s">
        <v>1388</v>
      </c>
      <c r="M93" s="9" t="s">
        <v>1389</v>
      </c>
      <c r="N93" s="8">
        <v>1</v>
      </c>
      <c r="O93" s="9" t="s">
        <v>1390</v>
      </c>
      <c r="P93" s="11">
        <v>232.05</v>
      </c>
      <c r="Q93" s="11">
        <v>250</v>
      </c>
      <c r="R93" s="11">
        <v>205.7</v>
      </c>
      <c r="S93" s="11">
        <v>1130</v>
      </c>
      <c r="T93" s="11">
        <v>262216.5</v>
      </c>
      <c r="U93" s="12">
        <v>5.3999999999999999E-2</v>
      </c>
      <c r="V93" s="12">
        <v>0.87860000000000005</v>
      </c>
      <c r="W93" s="11">
        <v>1133.6300000000001</v>
      </c>
      <c r="X93" s="9" t="s">
        <v>288</v>
      </c>
      <c r="Y93" s="10">
        <v>45044</v>
      </c>
      <c r="Z93" s="13">
        <v>0.1313</v>
      </c>
      <c r="AB93" t="b">
        <v>0</v>
      </c>
      <c r="AC93" s="9" t="s">
        <v>289</v>
      </c>
      <c r="AD93" s="9" t="s">
        <v>290</v>
      </c>
      <c r="AE93" s="8">
        <v>1019.035</v>
      </c>
      <c r="AF93" s="14">
        <v>46.11992</v>
      </c>
      <c r="AG93" s="14">
        <v>1.5880000000000001</v>
      </c>
      <c r="AH93" s="9" t="s">
        <v>291</v>
      </c>
      <c r="AI93" s="15" t="s">
        <v>396</v>
      </c>
      <c r="AJ93" s="9" t="s">
        <v>293</v>
      </c>
      <c r="AK93" s="9" t="s">
        <v>1391</v>
      </c>
      <c r="AL93" s="9" t="s">
        <v>1392</v>
      </c>
      <c r="AM93" s="9"/>
      <c r="AN93" s="9" t="s">
        <v>1393</v>
      </c>
      <c r="AO93" s="9"/>
      <c r="AP93" s="9" t="s">
        <v>123</v>
      </c>
      <c r="AQ93" s="9" t="s">
        <v>123</v>
      </c>
      <c r="AR93" t="b">
        <v>0</v>
      </c>
      <c r="AS93" s="10"/>
      <c r="AT93" s="10" t="s">
        <v>299</v>
      </c>
      <c r="AU93" s="9"/>
      <c r="AV93" t="b">
        <v>0</v>
      </c>
      <c r="AW93" s="12"/>
      <c r="AX93" s="11"/>
      <c r="AY93" s="9"/>
      <c r="AZ93" t="b">
        <v>0</v>
      </c>
      <c r="BA93" s="9"/>
      <c r="BB93" s="12"/>
      <c r="BC93" s="11"/>
      <c r="BD93" s="9" t="s">
        <v>325</v>
      </c>
      <c r="BE93" s="9" t="s">
        <v>301</v>
      </c>
      <c r="BF93" s="9" t="s">
        <v>702</v>
      </c>
      <c r="BG93" s="9" t="s">
        <v>327</v>
      </c>
      <c r="BH93" s="9" t="s">
        <v>304</v>
      </c>
      <c r="BI93" s="9" t="s">
        <v>386</v>
      </c>
      <c r="BJ93" s="9" t="s">
        <v>387</v>
      </c>
      <c r="BK93" s="11">
        <v>856</v>
      </c>
      <c r="BL93" s="16">
        <v>156.56235000000001</v>
      </c>
      <c r="BM93" s="10"/>
      <c r="BN93" s="10"/>
      <c r="BO93" s="10"/>
      <c r="BP93" s="16"/>
      <c r="BQ93" s="16"/>
      <c r="BR93" s="9"/>
      <c r="BS93" s="9"/>
      <c r="BT93" s="9"/>
      <c r="BU93" s="9"/>
      <c r="BV93" s="9"/>
      <c r="BW93" s="10"/>
      <c r="BX93" s="15" t="s">
        <v>458</v>
      </c>
      <c r="BY93" s="10"/>
      <c r="BZ93" s="10"/>
      <c r="CA93" s="10"/>
      <c r="CB93" t="b">
        <v>0</v>
      </c>
      <c r="CC93" s="9" t="s">
        <v>308</v>
      </c>
      <c r="CD93" s="9" t="s">
        <v>309</v>
      </c>
    </row>
    <row r="94" spans="1:82">
      <c r="A94" s="8">
        <v>77027</v>
      </c>
      <c r="B94" s="9" t="s">
        <v>1394</v>
      </c>
      <c r="C94" s="9" t="s">
        <v>932</v>
      </c>
      <c r="D94" s="10">
        <v>45776</v>
      </c>
      <c r="E94" s="9" t="s">
        <v>1395</v>
      </c>
      <c r="F94" s="9" t="s">
        <v>1396</v>
      </c>
      <c r="G94" s="9" t="s">
        <v>1397</v>
      </c>
      <c r="H94" s="9" t="s">
        <v>281</v>
      </c>
      <c r="I94" s="9" t="s">
        <v>282</v>
      </c>
      <c r="J94" s="9" t="s">
        <v>283</v>
      </c>
      <c r="K94" s="9" t="s">
        <v>284</v>
      </c>
      <c r="L94" s="9" t="s">
        <v>1398</v>
      </c>
      <c r="M94" s="9" t="s">
        <v>1399</v>
      </c>
      <c r="N94" s="8">
        <v>1</v>
      </c>
      <c r="O94" s="9" t="s">
        <v>1400</v>
      </c>
      <c r="P94" s="11">
        <v>137</v>
      </c>
      <c r="Q94" s="11">
        <v>110</v>
      </c>
      <c r="R94" s="11">
        <v>111</v>
      </c>
      <c r="S94" s="11">
        <v>1268</v>
      </c>
      <c r="T94" s="11">
        <v>173716</v>
      </c>
      <c r="U94" s="12">
        <v>5.3999999999999999E-2</v>
      </c>
      <c r="V94" s="12">
        <v>0.85099999999999998</v>
      </c>
      <c r="W94" s="11">
        <v>1232.8</v>
      </c>
      <c r="X94" s="9" t="s">
        <v>288</v>
      </c>
      <c r="Y94" s="10">
        <v>44564</v>
      </c>
      <c r="Z94" s="13">
        <v>0.12280000000000001</v>
      </c>
      <c r="AB94" t="b">
        <v>0</v>
      </c>
      <c r="AC94" s="9" t="s">
        <v>289</v>
      </c>
      <c r="AD94" s="9" t="s">
        <v>290</v>
      </c>
      <c r="AE94" s="8">
        <v>622.67520000000002</v>
      </c>
      <c r="AF94" s="14">
        <v>45.009320000000002</v>
      </c>
      <c r="AG94" s="14">
        <v>1.4384699999999999</v>
      </c>
      <c r="AH94" s="9" t="s">
        <v>483</v>
      </c>
      <c r="AI94" s="15" t="s">
        <v>319</v>
      </c>
      <c r="AJ94" s="9" t="s">
        <v>293</v>
      </c>
      <c r="AK94" s="9" t="s">
        <v>1401</v>
      </c>
      <c r="AL94" s="9" t="s">
        <v>1402</v>
      </c>
      <c r="AM94" s="9"/>
      <c r="AN94" s="9" t="s">
        <v>1403</v>
      </c>
      <c r="AO94" s="9"/>
      <c r="AP94" s="9" t="s">
        <v>43</v>
      </c>
      <c r="AQ94" s="9" t="s">
        <v>847</v>
      </c>
      <c r="AR94" t="b">
        <v>0</v>
      </c>
      <c r="AS94" s="10"/>
      <c r="AT94" s="10" t="s">
        <v>299</v>
      </c>
      <c r="AU94" s="9"/>
      <c r="AV94" t="b">
        <v>0</v>
      </c>
      <c r="AW94" s="12"/>
      <c r="AX94" s="11"/>
      <c r="AY94" s="9"/>
      <c r="AZ94" t="b">
        <v>0</v>
      </c>
      <c r="BA94" s="9"/>
      <c r="BB94" s="12"/>
      <c r="BC94" s="11"/>
      <c r="BD94" s="9" t="s">
        <v>325</v>
      </c>
      <c r="BE94" s="9" t="s">
        <v>301</v>
      </c>
      <c r="BF94" s="9" t="s">
        <v>356</v>
      </c>
      <c r="BG94" s="9" t="s">
        <v>749</v>
      </c>
      <c r="BH94" s="9" t="s">
        <v>304</v>
      </c>
      <c r="BI94" s="9" t="s">
        <v>943</v>
      </c>
      <c r="BJ94" s="9" t="s">
        <v>944</v>
      </c>
      <c r="BK94" s="11">
        <v>856</v>
      </c>
      <c r="BL94" s="16">
        <v>115.379</v>
      </c>
      <c r="BM94" s="10">
        <v>45796</v>
      </c>
      <c r="BN94" s="10">
        <v>45818</v>
      </c>
      <c r="BO94" s="10"/>
      <c r="BP94" s="16"/>
      <c r="BQ94" s="16"/>
      <c r="BR94" s="9"/>
      <c r="BS94" s="9"/>
      <c r="BT94" s="9"/>
      <c r="BU94" s="9"/>
      <c r="BV94" s="9"/>
      <c r="BW94" s="10"/>
      <c r="BX94" s="15" t="s">
        <v>1197</v>
      </c>
      <c r="BY94" s="10"/>
      <c r="BZ94" s="10"/>
      <c r="CA94" s="10"/>
      <c r="CB94" t="b">
        <v>0</v>
      </c>
      <c r="CC94" s="9" t="s">
        <v>308</v>
      </c>
      <c r="CD94" s="9" t="s">
        <v>309</v>
      </c>
    </row>
    <row r="95" spans="1:82">
      <c r="A95" s="8">
        <v>32075</v>
      </c>
      <c r="B95" s="9" t="s">
        <v>1404</v>
      </c>
      <c r="C95" s="9" t="s">
        <v>277</v>
      </c>
      <c r="D95" s="10">
        <v>45776</v>
      </c>
      <c r="E95" s="9" t="s">
        <v>1405</v>
      </c>
      <c r="F95" s="9" t="s">
        <v>706</v>
      </c>
      <c r="G95" s="9" t="s">
        <v>1406</v>
      </c>
      <c r="H95" s="9" t="s">
        <v>281</v>
      </c>
      <c r="I95" s="9" t="s">
        <v>282</v>
      </c>
      <c r="J95" s="9" t="s">
        <v>283</v>
      </c>
      <c r="K95" s="9" t="s">
        <v>284</v>
      </c>
      <c r="L95" s="9" t="s">
        <v>1407</v>
      </c>
      <c r="M95" s="9" t="s">
        <v>1408</v>
      </c>
      <c r="N95" s="8">
        <v>1</v>
      </c>
      <c r="O95" s="9" t="s">
        <v>1409</v>
      </c>
      <c r="P95" s="11">
        <v>343.07</v>
      </c>
      <c r="Q95" s="11">
        <v>250</v>
      </c>
      <c r="R95" s="11">
        <v>249.9</v>
      </c>
      <c r="S95" s="11">
        <v>1183</v>
      </c>
      <c r="T95" s="11">
        <v>405851.81</v>
      </c>
      <c r="U95" s="12">
        <v>5.3999999999999999E-2</v>
      </c>
      <c r="V95" s="12">
        <v>0.86499999999999999</v>
      </c>
      <c r="W95" s="11">
        <v>1214.5999999999999</v>
      </c>
      <c r="X95" s="9" t="s">
        <v>288</v>
      </c>
      <c r="Y95" s="10">
        <v>45125</v>
      </c>
      <c r="Z95" s="13">
        <v>0.12740000000000001</v>
      </c>
      <c r="AB95" t="b">
        <v>0</v>
      </c>
      <c r="AC95" s="9" t="s">
        <v>289</v>
      </c>
      <c r="AD95" s="9" t="s">
        <v>290</v>
      </c>
      <c r="AE95" s="8">
        <v>1506.5730000000001</v>
      </c>
      <c r="AF95" s="14">
        <v>43.308413999999999</v>
      </c>
      <c r="AG95" s="14">
        <v>2.04129</v>
      </c>
      <c r="AH95" s="9" t="s">
        <v>291</v>
      </c>
      <c r="AI95" s="15" t="s">
        <v>396</v>
      </c>
      <c r="AJ95" s="9" t="s">
        <v>293</v>
      </c>
      <c r="AK95" s="9" t="s">
        <v>1410</v>
      </c>
      <c r="AL95" s="9" t="s">
        <v>1411</v>
      </c>
      <c r="AM95" s="9"/>
      <c r="AN95" s="9" t="s">
        <v>1412</v>
      </c>
      <c r="AO95" s="9" t="s">
        <v>1413</v>
      </c>
      <c r="AP95" s="9" t="s">
        <v>139</v>
      </c>
      <c r="AQ95" s="9" t="s">
        <v>372</v>
      </c>
      <c r="AR95" t="b">
        <v>0</v>
      </c>
      <c r="AS95" s="10"/>
      <c r="AT95" s="10" t="s">
        <v>299</v>
      </c>
      <c r="AU95" s="9"/>
      <c r="AV95" t="b">
        <v>0</v>
      </c>
      <c r="AW95" s="12"/>
      <c r="AX95" s="11"/>
      <c r="AY95" s="9"/>
      <c r="AZ95" t="b">
        <v>0</v>
      </c>
      <c r="BA95" s="9"/>
      <c r="BB95" s="12"/>
      <c r="BC95" s="11"/>
      <c r="BD95" s="9" t="s">
        <v>325</v>
      </c>
      <c r="BE95" s="9" t="s">
        <v>301</v>
      </c>
      <c r="BF95" s="9" t="s">
        <v>702</v>
      </c>
      <c r="BG95" s="9" t="s">
        <v>738</v>
      </c>
      <c r="BH95" s="9" t="s">
        <v>304</v>
      </c>
      <c r="BI95" s="9" t="s">
        <v>305</v>
      </c>
      <c r="BJ95" s="9" t="s">
        <v>306</v>
      </c>
      <c r="BK95" s="11">
        <v>856</v>
      </c>
      <c r="BL95" s="16">
        <v>197.30669</v>
      </c>
      <c r="BM95" s="10"/>
      <c r="BN95" s="10"/>
      <c r="BO95" s="10"/>
      <c r="BP95" s="16"/>
      <c r="BQ95" s="16"/>
      <c r="BR95" s="9" t="s">
        <v>1414</v>
      </c>
      <c r="BS95" s="9" t="s">
        <v>1415</v>
      </c>
      <c r="BT95" s="9" t="s">
        <v>1416</v>
      </c>
      <c r="BU95" s="9" t="s">
        <v>706</v>
      </c>
      <c r="BV95" s="9"/>
      <c r="BW95" s="10"/>
      <c r="BX95" s="15" t="s">
        <v>1417</v>
      </c>
      <c r="BY95" s="10"/>
      <c r="BZ95" s="10"/>
      <c r="CA95" s="10"/>
      <c r="CB95" t="b">
        <v>0</v>
      </c>
      <c r="CC95" s="9" t="s">
        <v>308</v>
      </c>
      <c r="CD95" s="9" t="s">
        <v>309</v>
      </c>
    </row>
    <row r="96" spans="1:82">
      <c r="A96" s="8">
        <v>94378</v>
      </c>
      <c r="B96" s="9" t="s">
        <v>1418</v>
      </c>
      <c r="C96" s="9" t="s">
        <v>628</v>
      </c>
      <c r="D96" s="10">
        <v>45771</v>
      </c>
      <c r="E96" s="9" t="s">
        <v>1419</v>
      </c>
      <c r="F96" s="9" t="s">
        <v>1420</v>
      </c>
      <c r="G96" s="9" t="s">
        <v>1421</v>
      </c>
      <c r="H96" s="9" t="s">
        <v>281</v>
      </c>
      <c r="I96" s="9" t="s">
        <v>282</v>
      </c>
      <c r="J96" s="9" t="s">
        <v>283</v>
      </c>
      <c r="K96" s="9" t="s">
        <v>284</v>
      </c>
      <c r="L96" s="9" t="s">
        <v>1422</v>
      </c>
      <c r="M96" s="9" t="s">
        <v>1423</v>
      </c>
      <c r="N96" s="8">
        <v>1</v>
      </c>
      <c r="O96" s="9" t="s">
        <v>1424</v>
      </c>
      <c r="P96" s="11">
        <v>300.3</v>
      </c>
      <c r="Q96" s="11">
        <v>250</v>
      </c>
      <c r="R96" s="11">
        <v>249.9</v>
      </c>
      <c r="S96" s="11">
        <v>1187</v>
      </c>
      <c r="T96" s="11">
        <v>356456.1</v>
      </c>
      <c r="U96" s="12">
        <v>5.3999999999999999E-2</v>
      </c>
      <c r="V96" s="12">
        <v>0.86870000000000003</v>
      </c>
      <c r="W96" s="11">
        <v>1202.7</v>
      </c>
      <c r="X96" s="9" t="s">
        <v>288</v>
      </c>
      <c r="Y96" s="10">
        <v>45118</v>
      </c>
      <c r="Z96" s="13">
        <v>0.12740000000000001</v>
      </c>
      <c r="AB96" t="b">
        <v>0</v>
      </c>
      <c r="AC96" s="9" t="s">
        <v>289</v>
      </c>
      <c r="AD96" s="9" t="s">
        <v>290</v>
      </c>
      <c r="AE96" s="8">
        <v>1318.751</v>
      </c>
      <c r="AF96" s="14">
        <v>43.79701</v>
      </c>
      <c r="AG96" s="14">
        <v>1.8085100000000001</v>
      </c>
      <c r="AH96" s="9" t="s">
        <v>524</v>
      </c>
      <c r="AI96" s="15" t="s">
        <v>396</v>
      </c>
      <c r="AJ96" s="9" t="s">
        <v>293</v>
      </c>
      <c r="AK96" s="9" t="s">
        <v>1425</v>
      </c>
      <c r="AL96" s="9" t="s">
        <v>1426</v>
      </c>
      <c r="AM96" s="9"/>
      <c r="AN96" s="9" t="s">
        <v>1427</v>
      </c>
      <c r="AO96" s="9"/>
      <c r="AP96" s="9" t="s">
        <v>139</v>
      </c>
      <c r="AQ96" s="9" t="s">
        <v>298</v>
      </c>
      <c r="AR96" t="b">
        <v>0</v>
      </c>
      <c r="AS96" s="10"/>
      <c r="AT96" s="10" t="s">
        <v>299</v>
      </c>
      <c r="AU96" s="9"/>
      <c r="AV96" t="b">
        <v>0</v>
      </c>
      <c r="AW96" s="12"/>
      <c r="AX96" s="11"/>
      <c r="AY96" s="9"/>
      <c r="AZ96" t="b">
        <v>0</v>
      </c>
      <c r="BA96" s="9"/>
      <c r="BB96" s="12"/>
      <c r="BC96" s="11"/>
      <c r="BD96" s="9" t="s">
        <v>325</v>
      </c>
      <c r="BE96" s="9" t="s">
        <v>47</v>
      </c>
      <c r="BF96" s="9" t="s">
        <v>702</v>
      </c>
      <c r="BG96" s="9" t="s">
        <v>416</v>
      </c>
      <c r="BH96" s="9" t="s">
        <v>304</v>
      </c>
      <c r="BI96" s="9" t="s">
        <v>638</v>
      </c>
      <c r="BJ96" s="9" t="s">
        <v>639</v>
      </c>
      <c r="BK96" s="11">
        <v>856</v>
      </c>
      <c r="BL96" s="16">
        <v>181.61009999999999</v>
      </c>
      <c r="BM96" s="10"/>
      <c r="BN96" s="10"/>
      <c r="BO96" s="10"/>
      <c r="BP96" s="16"/>
      <c r="BQ96" s="16"/>
      <c r="BR96" s="9"/>
      <c r="BS96" s="9"/>
      <c r="BT96" s="9"/>
      <c r="BU96" s="9"/>
      <c r="BV96" s="9"/>
      <c r="BW96" s="10"/>
      <c r="BX96" s="15" t="s">
        <v>441</v>
      </c>
      <c r="BY96" s="10"/>
      <c r="BZ96" s="10"/>
      <c r="CA96" s="10"/>
      <c r="CB96" t="b">
        <v>0</v>
      </c>
      <c r="CC96" s="9" t="s">
        <v>308</v>
      </c>
      <c r="CD96" s="9" t="s">
        <v>309</v>
      </c>
    </row>
    <row r="97" spans="1:82">
      <c r="A97" s="8">
        <v>15843</v>
      </c>
      <c r="B97" s="9" t="s">
        <v>1428</v>
      </c>
      <c r="C97" s="9" t="s">
        <v>1257</v>
      </c>
      <c r="D97" s="10">
        <v>45769</v>
      </c>
      <c r="E97" s="9" t="s">
        <v>1429</v>
      </c>
      <c r="F97" s="9" t="s">
        <v>1430</v>
      </c>
      <c r="G97" s="9" t="s">
        <v>1431</v>
      </c>
      <c r="H97" s="9" t="s">
        <v>281</v>
      </c>
      <c r="I97" s="9" t="s">
        <v>282</v>
      </c>
      <c r="J97" s="9" t="s">
        <v>283</v>
      </c>
      <c r="K97" s="9" t="s">
        <v>284</v>
      </c>
      <c r="L97" s="9" t="s">
        <v>1432</v>
      </c>
      <c r="M97" s="9" t="s">
        <v>1433</v>
      </c>
      <c r="N97" s="8">
        <v>1</v>
      </c>
      <c r="O97" s="9" t="s">
        <v>1434</v>
      </c>
      <c r="P97" s="11">
        <v>313.95</v>
      </c>
      <c r="Q97" s="11">
        <v>220</v>
      </c>
      <c r="R97" s="11">
        <v>220</v>
      </c>
      <c r="S97" s="11">
        <v>1163</v>
      </c>
      <c r="T97" s="11">
        <v>365123.85</v>
      </c>
      <c r="U97" s="12">
        <v>5.3999999999999999E-2</v>
      </c>
      <c r="V97" s="12">
        <v>0.86499999999999999</v>
      </c>
      <c r="W97" s="11">
        <v>1173.7</v>
      </c>
      <c r="X97" s="9" t="s">
        <v>288</v>
      </c>
      <c r="Y97" s="10">
        <v>44977</v>
      </c>
      <c r="Z97" s="13">
        <v>0.13120000000000001</v>
      </c>
      <c r="AB97" t="b">
        <v>0</v>
      </c>
      <c r="AC97" s="9" t="s">
        <v>289</v>
      </c>
      <c r="AD97" s="9" t="s">
        <v>290</v>
      </c>
      <c r="AE97" s="8">
        <v>1378.6949999999999</v>
      </c>
      <c r="AF97" s="14">
        <v>44.927819999999997</v>
      </c>
      <c r="AG97" s="14">
        <v>2.9899200000000001</v>
      </c>
      <c r="AH97" s="9" t="s">
        <v>483</v>
      </c>
      <c r="AI97" s="15" t="s">
        <v>319</v>
      </c>
      <c r="AJ97" s="9" t="s">
        <v>293</v>
      </c>
      <c r="AK97" s="9" t="s">
        <v>1435</v>
      </c>
      <c r="AL97" s="9" t="s">
        <v>1436</v>
      </c>
      <c r="AM97" s="9"/>
      <c r="AN97" s="9" t="s">
        <v>1437</v>
      </c>
      <c r="AO97" s="9"/>
      <c r="AP97" s="9" t="s">
        <v>469</v>
      </c>
      <c r="AQ97" s="9" t="s">
        <v>372</v>
      </c>
      <c r="AR97" t="b">
        <v>0</v>
      </c>
      <c r="AS97" s="10"/>
      <c r="AT97" s="10" t="s">
        <v>299</v>
      </c>
      <c r="AU97" s="9"/>
      <c r="AV97" t="b">
        <v>0</v>
      </c>
      <c r="AW97" s="12"/>
      <c r="AX97" s="11"/>
      <c r="AY97" s="9"/>
      <c r="AZ97" t="b">
        <v>0</v>
      </c>
      <c r="BA97" s="9"/>
      <c r="BB97" s="12"/>
      <c r="BC97" s="11"/>
      <c r="BD97" s="9" t="s">
        <v>325</v>
      </c>
      <c r="BE97" s="9" t="s">
        <v>47</v>
      </c>
      <c r="BF97" s="9" t="s">
        <v>702</v>
      </c>
      <c r="BG97" s="9" t="s">
        <v>738</v>
      </c>
      <c r="BH97" s="9" t="s">
        <v>304</v>
      </c>
      <c r="BI97" s="9" t="s">
        <v>1267</v>
      </c>
      <c r="BJ97" s="9" t="s">
        <v>1268</v>
      </c>
      <c r="BK97" s="11">
        <v>856</v>
      </c>
      <c r="BL97" s="16">
        <v>180.31965</v>
      </c>
      <c r="BM97" s="10">
        <v>45785</v>
      </c>
      <c r="BN97" s="10">
        <v>45824</v>
      </c>
      <c r="BO97" s="10"/>
      <c r="BP97" s="16"/>
      <c r="BQ97" s="16"/>
      <c r="BR97" s="9"/>
      <c r="BS97" s="9"/>
      <c r="BT97" s="9"/>
      <c r="BU97" s="9"/>
      <c r="BV97" s="9"/>
      <c r="BW97" s="10"/>
      <c r="BX97" s="15" t="s">
        <v>1438</v>
      </c>
      <c r="BY97" s="10"/>
      <c r="BZ97" s="10"/>
      <c r="CA97" s="10"/>
      <c r="CB97" t="b">
        <v>0</v>
      </c>
      <c r="CC97" s="9" t="s">
        <v>308</v>
      </c>
      <c r="CD97" s="9" t="s">
        <v>309</v>
      </c>
    </row>
    <row r="98" spans="1:82" ht="29.1">
      <c r="A98" s="8">
        <v>94626</v>
      </c>
      <c r="B98" s="9" t="s">
        <v>1439</v>
      </c>
      <c r="C98" s="9" t="s">
        <v>1257</v>
      </c>
      <c r="D98" s="10">
        <v>45764</v>
      </c>
      <c r="E98" s="9" t="s">
        <v>1440</v>
      </c>
      <c r="F98" s="9" t="s">
        <v>433</v>
      </c>
      <c r="G98" s="9" t="s">
        <v>1441</v>
      </c>
      <c r="H98" s="9" t="s">
        <v>315</v>
      </c>
      <c r="I98" s="9" t="s">
        <v>282</v>
      </c>
      <c r="J98" s="9" t="s">
        <v>283</v>
      </c>
      <c r="K98" s="9" t="s">
        <v>284</v>
      </c>
      <c r="L98" s="9" t="s">
        <v>1442</v>
      </c>
      <c r="M98" s="9" t="s">
        <v>1443</v>
      </c>
      <c r="N98" s="8">
        <v>1</v>
      </c>
      <c r="O98" s="9" t="s">
        <v>1444</v>
      </c>
      <c r="P98" s="11">
        <v>169.99</v>
      </c>
      <c r="Q98" s="11">
        <v>165</v>
      </c>
      <c r="R98" s="11">
        <v>120.5</v>
      </c>
      <c r="S98" s="11">
        <v>1210</v>
      </c>
      <c r="T98" s="11">
        <v>205687.9</v>
      </c>
      <c r="U98" s="12">
        <v>5.3999999999999999E-2</v>
      </c>
      <c r="V98" s="12">
        <v>0.85099999999999998</v>
      </c>
      <c r="W98" s="11">
        <v>1163.5999999999999</v>
      </c>
      <c r="X98" s="9" t="s">
        <v>288</v>
      </c>
      <c r="Y98" s="10">
        <v>45022</v>
      </c>
      <c r="Z98" s="13">
        <v>0.13120000000000001</v>
      </c>
      <c r="AB98" t="b">
        <v>0</v>
      </c>
      <c r="AC98" s="9" t="s">
        <v>289</v>
      </c>
      <c r="AD98" s="9" t="s">
        <v>290</v>
      </c>
      <c r="AE98" s="8">
        <v>763.27700000000004</v>
      </c>
      <c r="AF98" s="14">
        <v>44.671703999999998</v>
      </c>
      <c r="AG98" s="14">
        <v>0.121951</v>
      </c>
      <c r="AH98" s="9" t="s">
        <v>483</v>
      </c>
      <c r="AI98" s="15" t="s">
        <v>1445</v>
      </c>
      <c r="AJ98" s="9" t="s">
        <v>293</v>
      </c>
      <c r="AK98" s="9" t="s">
        <v>1446</v>
      </c>
      <c r="AL98" s="9" t="s">
        <v>1447</v>
      </c>
      <c r="AM98" s="9"/>
      <c r="AN98" s="9" t="s">
        <v>1448</v>
      </c>
      <c r="AO98" s="9"/>
      <c r="AP98" s="9" t="s">
        <v>139</v>
      </c>
      <c r="AQ98" s="9" t="s">
        <v>1449</v>
      </c>
      <c r="AR98" t="b">
        <v>0</v>
      </c>
      <c r="AS98" s="10"/>
      <c r="AT98" s="10" t="s">
        <v>299</v>
      </c>
      <c r="AU98" s="9"/>
      <c r="AV98" t="b">
        <v>0</v>
      </c>
      <c r="AW98" s="12"/>
      <c r="AX98" s="11"/>
      <c r="AY98" s="9"/>
      <c r="AZ98" t="b">
        <v>0</v>
      </c>
      <c r="BA98" s="9"/>
      <c r="BB98" s="12"/>
      <c r="BC98" s="11"/>
      <c r="BD98" s="9" t="s">
        <v>325</v>
      </c>
      <c r="BE98" s="9" t="s">
        <v>47</v>
      </c>
      <c r="BF98" s="9" t="s">
        <v>302</v>
      </c>
      <c r="BG98" s="9" t="s">
        <v>749</v>
      </c>
      <c r="BH98" s="9" t="s">
        <v>304</v>
      </c>
      <c r="BI98" s="9" t="s">
        <v>1267</v>
      </c>
      <c r="BJ98" s="9" t="s">
        <v>1268</v>
      </c>
      <c r="BK98" s="11">
        <v>856</v>
      </c>
      <c r="BL98" s="16">
        <v>127.48633</v>
      </c>
      <c r="BM98" s="10">
        <v>45779</v>
      </c>
      <c r="BN98" s="10">
        <v>45793</v>
      </c>
      <c r="BO98" s="10"/>
      <c r="BP98" s="16"/>
      <c r="BQ98" s="16"/>
      <c r="BR98" s="9"/>
      <c r="BS98" s="9"/>
      <c r="BT98" s="9"/>
      <c r="BU98" s="9"/>
      <c r="BV98" s="9"/>
      <c r="BW98" s="10"/>
      <c r="BX98" s="15" t="s">
        <v>1450</v>
      </c>
      <c r="BY98" s="10"/>
      <c r="BZ98" s="10"/>
      <c r="CA98" s="10"/>
      <c r="CB98" t="b">
        <v>0</v>
      </c>
      <c r="CC98" s="9" t="s">
        <v>308</v>
      </c>
      <c r="CD98" s="9" t="s">
        <v>309</v>
      </c>
    </row>
    <row r="99" spans="1:82">
      <c r="A99" s="8">
        <v>98584</v>
      </c>
      <c r="B99" s="9" t="s">
        <v>1451</v>
      </c>
      <c r="C99" s="9" t="s">
        <v>932</v>
      </c>
      <c r="D99" s="10">
        <v>45763</v>
      </c>
      <c r="E99" s="9" t="s">
        <v>1452</v>
      </c>
      <c r="F99" s="9" t="s">
        <v>1453</v>
      </c>
      <c r="G99" s="9" t="s">
        <v>1454</v>
      </c>
      <c r="H99" s="9" t="s">
        <v>281</v>
      </c>
      <c r="I99" s="9" t="s">
        <v>282</v>
      </c>
      <c r="J99" s="9" t="s">
        <v>283</v>
      </c>
      <c r="K99" s="9" t="s">
        <v>284</v>
      </c>
      <c r="L99" s="9" t="s">
        <v>1455</v>
      </c>
      <c r="M99" s="9" t="s">
        <v>1456</v>
      </c>
      <c r="N99" s="8">
        <v>1</v>
      </c>
      <c r="O99" s="9" t="s">
        <v>1457</v>
      </c>
      <c r="P99" s="11">
        <v>330.78500000000003</v>
      </c>
      <c r="Q99" s="11">
        <v>250</v>
      </c>
      <c r="R99" s="11">
        <v>249</v>
      </c>
      <c r="S99" s="11">
        <v>1186</v>
      </c>
      <c r="T99" s="11">
        <v>392311.01</v>
      </c>
      <c r="U99" s="12">
        <v>5.3999999999999999E-2</v>
      </c>
      <c r="V99" s="12">
        <v>0.83599999999999997</v>
      </c>
      <c r="W99" s="11">
        <v>1154</v>
      </c>
      <c r="X99" s="9" t="s">
        <v>288</v>
      </c>
      <c r="Y99" s="10">
        <v>45258</v>
      </c>
      <c r="Z99" s="13">
        <v>0.1208</v>
      </c>
      <c r="AB99" t="b">
        <v>0</v>
      </c>
      <c r="AC99" s="9" t="s">
        <v>289</v>
      </c>
      <c r="AD99" s="9" t="s">
        <v>290</v>
      </c>
      <c r="AE99" s="8">
        <v>1452.625</v>
      </c>
      <c r="AF99" s="14">
        <v>44.662390000000002</v>
      </c>
      <c r="AG99" s="14">
        <v>0.83643000000000001</v>
      </c>
      <c r="AH99" s="9" t="s">
        <v>483</v>
      </c>
      <c r="AI99" s="15" t="s">
        <v>396</v>
      </c>
      <c r="AJ99" s="9" t="s">
        <v>293</v>
      </c>
      <c r="AK99" s="9" t="s">
        <v>1458</v>
      </c>
      <c r="AL99" s="9" t="s">
        <v>1459</v>
      </c>
      <c r="AM99" s="9"/>
      <c r="AN99" s="9" t="s">
        <v>1460</v>
      </c>
      <c r="AO99" s="9"/>
      <c r="AP99" s="9" t="s">
        <v>371</v>
      </c>
      <c r="AQ99" s="9" t="s">
        <v>1461</v>
      </c>
      <c r="AR99" t="b">
        <v>0</v>
      </c>
      <c r="AS99" s="10"/>
      <c r="AT99" s="10" t="s">
        <v>299</v>
      </c>
      <c r="AU99" s="9"/>
      <c r="AV99" t="b">
        <v>0</v>
      </c>
      <c r="AW99" s="12"/>
      <c r="AX99" s="11"/>
      <c r="AY99" s="9"/>
      <c r="AZ99" t="b">
        <v>0</v>
      </c>
      <c r="BA99" s="9"/>
      <c r="BB99" s="12"/>
      <c r="BC99" s="11"/>
      <c r="BD99" s="9" t="s">
        <v>300</v>
      </c>
      <c r="BE99" s="9" t="s">
        <v>301</v>
      </c>
      <c r="BF99" s="9" t="s">
        <v>373</v>
      </c>
      <c r="BG99" s="9" t="s">
        <v>749</v>
      </c>
      <c r="BH99" s="9" t="s">
        <v>304</v>
      </c>
      <c r="BI99" s="9" t="s">
        <v>943</v>
      </c>
      <c r="BJ99" s="9" t="s">
        <v>944</v>
      </c>
      <c r="BK99" s="11">
        <v>856</v>
      </c>
      <c r="BL99" s="16">
        <v>186.49809500000001</v>
      </c>
      <c r="BM99" s="10">
        <v>45777</v>
      </c>
      <c r="BN99" s="10">
        <v>45926</v>
      </c>
      <c r="BO99" s="10"/>
      <c r="BP99" s="16"/>
      <c r="BQ99" s="16"/>
      <c r="BR99" s="9"/>
      <c r="BS99" s="9"/>
      <c r="BT99" s="9"/>
      <c r="BU99" s="9"/>
      <c r="BV99" s="9"/>
      <c r="BW99" s="10"/>
      <c r="BX99" s="15" t="s">
        <v>1462</v>
      </c>
      <c r="BY99" s="10"/>
      <c r="BZ99" s="10"/>
      <c r="CA99" s="10"/>
      <c r="CB99" t="b">
        <v>0</v>
      </c>
      <c r="CC99" s="9" t="s">
        <v>308</v>
      </c>
      <c r="CD99" s="9" t="s">
        <v>309</v>
      </c>
    </row>
    <row r="100" spans="1:82">
      <c r="A100" s="8">
        <v>34484</v>
      </c>
      <c r="B100" s="9" t="s">
        <v>1463</v>
      </c>
      <c r="C100" s="9" t="s">
        <v>1257</v>
      </c>
      <c r="D100" s="10">
        <v>45763</v>
      </c>
      <c r="E100" s="9" t="s">
        <v>1464</v>
      </c>
      <c r="F100" s="9" t="s">
        <v>1465</v>
      </c>
      <c r="G100" s="9" t="s">
        <v>1466</v>
      </c>
      <c r="H100" s="9" t="s">
        <v>281</v>
      </c>
      <c r="I100" s="9" t="s">
        <v>282</v>
      </c>
      <c r="J100" s="9" t="s">
        <v>283</v>
      </c>
      <c r="K100" s="9" t="s">
        <v>284</v>
      </c>
      <c r="L100" s="9" t="s">
        <v>1467</v>
      </c>
      <c r="M100" s="9" t="s">
        <v>1468</v>
      </c>
      <c r="N100" s="8">
        <v>1</v>
      </c>
      <c r="O100" s="9" t="s">
        <v>1469</v>
      </c>
      <c r="P100" s="11">
        <v>288.10000000000002</v>
      </c>
      <c r="Q100" s="11">
        <v>250</v>
      </c>
      <c r="R100" s="11">
        <v>249.9</v>
      </c>
      <c r="S100" s="11">
        <v>1367</v>
      </c>
      <c r="T100" s="11">
        <v>393832.7</v>
      </c>
      <c r="U100" s="12">
        <v>5.3999999999999999E-2</v>
      </c>
      <c r="V100" s="12">
        <v>0.84899999999999998</v>
      </c>
      <c r="W100" s="11">
        <v>1359.7</v>
      </c>
      <c r="X100" s="9" t="s">
        <v>288</v>
      </c>
      <c r="Y100" s="10">
        <v>45020</v>
      </c>
      <c r="Z100" s="13">
        <v>0.13120000000000001</v>
      </c>
      <c r="AB100" t="b">
        <v>0</v>
      </c>
      <c r="AC100" s="9" t="s">
        <v>289</v>
      </c>
      <c r="AD100" s="9" t="s">
        <v>290</v>
      </c>
      <c r="AE100" s="8">
        <v>1303.7260000000001</v>
      </c>
      <c r="AF100" s="14">
        <v>43.472031000000001</v>
      </c>
      <c r="AG100" s="14">
        <v>5.7093610000000004</v>
      </c>
      <c r="AH100" s="9" t="s">
        <v>483</v>
      </c>
      <c r="AI100" s="15" t="s">
        <v>396</v>
      </c>
      <c r="AJ100" s="9" t="s">
        <v>293</v>
      </c>
      <c r="AK100" s="9" t="s">
        <v>1470</v>
      </c>
      <c r="AL100" s="9" t="s">
        <v>1471</v>
      </c>
      <c r="AM100" s="9"/>
      <c r="AN100" s="9" t="s">
        <v>1472</v>
      </c>
      <c r="AO100" s="9" t="s">
        <v>1473</v>
      </c>
      <c r="AP100" s="9" t="s">
        <v>108</v>
      </c>
      <c r="AQ100" s="9" t="s">
        <v>372</v>
      </c>
      <c r="AR100" t="b">
        <v>0</v>
      </c>
      <c r="AS100" s="10"/>
      <c r="AT100" s="10" t="s">
        <v>299</v>
      </c>
      <c r="AU100" s="9"/>
      <c r="AV100" t="b">
        <v>0</v>
      </c>
      <c r="AW100" s="12"/>
      <c r="AX100" s="11"/>
      <c r="AY100" s="9"/>
      <c r="AZ100" t="b">
        <v>0</v>
      </c>
      <c r="BA100" s="9"/>
      <c r="BB100" s="12"/>
      <c r="BC100" s="11"/>
      <c r="BD100" s="9" t="s">
        <v>300</v>
      </c>
      <c r="BE100" s="9" t="s">
        <v>47</v>
      </c>
      <c r="BF100" s="9" t="s">
        <v>690</v>
      </c>
      <c r="BG100" s="9" t="s">
        <v>967</v>
      </c>
      <c r="BH100" s="9" t="s">
        <v>304</v>
      </c>
      <c r="BI100" s="9" t="s">
        <v>1267</v>
      </c>
      <c r="BJ100" s="9" t="s">
        <v>1268</v>
      </c>
      <c r="BK100" s="11">
        <v>856</v>
      </c>
      <c r="BL100" s="16">
        <v>170.83269999999999</v>
      </c>
      <c r="BM100" s="10">
        <v>45777</v>
      </c>
      <c r="BN100" s="10">
        <v>45929</v>
      </c>
      <c r="BO100" s="10"/>
      <c r="BP100" s="16"/>
      <c r="BQ100" s="16"/>
      <c r="BR100" s="9"/>
      <c r="BS100" s="9"/>
      <c r="BT100" s="9"/>
      <c r="BU100" s="9"/>
      <c r="BV100" s="9"/>
      <c r="BW100" s="10"/>
      <c r="BX100" s="15" t="s">
        <v>1474</v>
      </c>
      <c r="BY100" s="10"/>
      <c r="BZ100" s="10"/>
      <c r="CA100" s="10"/>
      <c r="CB100" t="b">
        <v>0</v>
      </c>
      <c r="CC100" s="9" t="s">
        <v>308</v>
      </c>
      <c r="CD100" s="9" t="s">
        <v>309</v>
      </c>
    </row>
    <row r="101" spans="1:82">
      <c r="A101" s="8">
        <v>59517</v>
      </c>
      <c r="B101" s="9" t="s">
        <v>1475</v>
      </c>
      <c r="C101" s="9" t="s">
        <v>628</v>
      </c>
      <c r="D101" s="10">
        <v>45762</v>
      </c>
      <c r="E101" s="9" t="s">
        <v>1476</v>
      </c>
      <c r="F101" s="9" t="s">
        <v>346</v>
      </c>
      <c r="G101" s="9" t="s">
        <v>347</v>
      </c>
      <c r="H101" s="9" t="s">
        <v>281</v>
      </c>
      <c r="I101" s="9" t="s">
        <v>282</v>
      </c>
      <c r="J101" s="9" t="s">
        <v>283</v>
      </c>
      <c r="K101" s="9" t="s">
        <v>284</v>
      </c>
      <c r="L101" s="9" t="s">
        <v>1477</v>
      </c>
      <c r="M101" s="9" t="s">
        <v>1478</v>
      </c>
      <c r="N101" s="8">
        <v>1</v>
      </c>
      <c r="O101" s="9" t="s">
        <v>1479</v>
      </c>
      <c r="P101" s="11">
        <v>331.24</v>
      </c>
      <c r="Q101" s="11">
        <v>250</v>
      </c>
      <c r="R101" s="11">
        <v>249.9</v>
      </c>
      <c r="S101" s="11">
        <v>1212</v>
      </c>
      <c r="T101" s="11">
        <v>401462.88</v>
      </c>
      <c r="U101" s="12">
        <v>5.3999999999999999E-2</v>
      </c>
      <c r="V101" s="12">
        <v>0.86219999999999997</v>
      </c>
      <c r="W101" s="11">
        <v>1207.97</v>
      </c>
      <c r="X101" s="9" t="s">
        <v>288</v>
      </c>
      <c r="Y101" s="10">
        <v>45117</v>
      </c>
      <c r="Z101" s="13">
        <v>0.12740000000000001</v>
      </c>
      <c r="AB101" t="b">
        <v>0</v>
      </c>
      <c r="AC101" s="9" t="s">
        <v>289</v>
      </c>
      <c r="AD101" s="9" t="s">
        <v>290</v>
      </c>
      <c r="AE101" s="8">
        <v>1454.623</v>
      </c>
      <c r="AF101" s="14">
        <v>43.195711000000003</v>
      </c>
      <c r="AG101" s="14">
        <v>1.9770970000000001</v>
      </c>
      <c r="AH101" s="9" t="s">
        <v>524</v>
      </c>
      <c r="AI101" s="15" t="s">
        <v>396</v>
      </c>
      <c r="AJ101" s="9" t="s">
        <v>293</v>
      </c>
      <c r="AK101" s="9" t="s">
        <v>1480</v>
      </c>
      <c r="AL101" s="9" t="s">
        <v>1481</v>
      </c>
      <c r="AM101" s="9"/>
      <c r="AN101" s="9" t="s">
        <v>1482</v>
      </c>
      <c r="AO101" s="9"/>
      <c r="AP101" s="9" t="s">
        <v>139</v>
      </c>
      <c r="AQ101" s="9" t="s">
        <v>372</v>
      </c>
      <c r="AR101" t="b">
        <v>0</v>
      </c>
      <c r="AS101" s="10"/>
      <c r="AT101" s="10" t="s">
        <v>299</v>
      </c>
      <c r="AU101" s="9"/>
      <c r="AV101" t="b">
        <v>0</v>
      </c>
      <c r="AW101" s="12"/>
      <c r="AX101" s="11"/>
      <c r="AY101" s="9"/>
      <c r="AZ101" t="b">
        <v>0</v>
      </c>
      <c r="BA101" s="9"/>
      <c r="BB101" s="12"/>
      <c r="BC101" s="11"/>
      <c r="BD101" s="9" t="s">
        <v>325</v>
      </c>
      <c r="BE101" s="9" t="s">
        <v>47</v>
      </c>
      <c r="BF101" s="9" t="s">
        <v>702</v>
      </c>
      <c r="BG101" s="9" t="s">
        <v>738</v>
      </c>
      <c r="BH101" s="9" t="s">
        <v>304</v>
      </c>
      <c r="BI101" s="9" t="s">
        <v>638</v>
      </c>
      <c r="BJ101" s="9" t="s">
        <v>639</v>
      </c>
      <c r="BK101" s="11">
        <v>856</v>
      </c>
      <c r="BL101" s="16">
        <v>192.96508</v>
      </c>
      <c r="BM101" s="10">
        <v>45778</v>
      </c>
      <c r="BN101" s="10">
        <v>45825</v>
      </c>
      <c r="BO101" s="10"/>
      <c r="BP101" s="16"/>
      <c r="BQ101" s="16"/>
      <c r="BR101" s="9"/>
      <c r="BS101" s="9"/>
      <c r="BT101" s="9"/>
      <c r="BU101" s="9"/>
      <c r="BV101" s="9"/>
      <c r="BW101" s="10"/>
      <c r="BX101" s="15" t="s">
        <v>1483</v>
      </c>
      <c r="BY101" s="10"/>
      <c r="BZ101" s="10"/>
      <c r="CA101" s="10"/>
      <c r="CB101" t="b">
        <v>0</v>
      </c>
      <c r="CC101" s="9" t="s">
        <v>308</v>
      </c>
      <c r="CD101" s="9" t="s">
        <v>309</v>
      </c>
    </row>
    <row r="102" spans="1:82" ht="57.95">
      <c r="A102" s="8">
        <v>24206</v>
      </c>
      <c r="B102" s="9" t="s">
        <v>1484</v>
      </c>
      <c r="C102" s="9" t="s">
        <v>1204</v>
      </c>
      <c r="D102" s="10">
        <v>45761</v>
      </c>
      <c r="E102" s="9" t="s">
        <v>1485</v>
      </c>
      <c r="F102" s="9" t="s">
        <v>1486</v>
      </c>
      <c r="G102" s="9" t="s">
        <v>1487</v>
      </c>
      <c r="H102" s="9" t="s">
        <v>281</v>
      </c>
      <c r="I102" s="9" t="s">
        <v>282</v>
      </c>
      <c r="J102" s="9" t="s">
        <v>283</v>
      </c>
      <c r="K102" s="9" t="s">
        <v>284</v>
      </c>
      <c r="L102" s="9" t="s">
        <v>1488</v>
      </c>
      <c r="M102" s="9" t="s">
        <v>1489</v>
      </c>
      <c r="N102" s="8">
        <v>2</v>
      </c>
      <c r="O102" s="9" t="s">
        <v>1490</v>
      </c>
      <c r="P102" s="11">
        <v>481.6</v>
      </c>
      <c r="Q102" s="11">
        <v>440</v>
      </c>
      <c r="R102" s="11">
        <v>398.4</v>
      </c>
      <c r="S102" s="11">
        <v>1122</v>
      </c>
      <c r="T102" s="11">
        <v>540355.19999999995</v>
      </c>
      <c r="U102" s="12">
        <v>5.3999999999999999E-2</v>
      </c>
      <c r="V102" s="12">
        <v>0.86099999999999999</v>
      </c>
      <c r="W102" s="11">
        <v>1107.7</v>
      </c>
      <c r="X102" s="9" t="s">
        <v>288</v>
      </c>
      <c r="Y102" s="10">
        <v>44978</v>
      </c>
      <c r="Z102" s="13">
        <v>0.1313</v>
      </c>
      <c r="AB102" t="b">
        <v>0</v>
      </c>
      <c r="AC102" s="9" t="s">
        <v>289</v>
      </c>
      <c r="AD102" s="9" t="s">
        <v>290</v>
      </c>
      <c r="AE102" s="8">
        <v>2179.364</v>
      </c>
      <c r="AF102" s="14">
        <v>45.950740000000003</v>
      </c>
      <c r="AG102" s="14">
        <v>4.327966</v>
      </c>
      <c r="AH102" s="9" t="s">
        <v>483</v>
      </c>
      <c r="AI102" s="15" t="s">
        <v>1491</v>
      </c>
      <c r="AJ102" s="9" t="s">
        <v>293</v>
      </c>
      <c r="AK102" s="9" t="s">
        <v>1492</v>
      </c>
      <c r="AL102" s="9" t="s">
        <v>1493</v>
      </c>
      <c r="AM102" s="9"/>
      <c r="AN102" s="9" t="s">
        <v>1494</v>
      </c>
      <c r="AO102" s="9"/>
      <c r="AP102" s="9" t="s">
        <v>43</v>
      </c>
      <c r="AQ102" s="9" t="s">
        <v>847</v>
      </c>
      <c r="AR102" t="b">
        <v>0</v>
      </c>
      <c r="AS102" s="10"/>
      <c r="AT102" s="10" t="s">
        <v>299</v>
      </c>
      <c r="AU102" s="9"/>
      <c r="AV102" t="b">
        <v>0</v>
      </c>
      <c r="AW102" s="12"/>
      <c r="AX102" s="11"/>
      <c r="AY102" s="9"/>
      <c r="AZ102" t="b">
        <v>0</v>
      </c>
      <c r="BA102" s="9"/>
      <c r="BB102" s="12"/>
      <c r="BC102" s="11"/>
      <c r="BD102" s="9" t="s">
        <v>300</v>
      </c>
      <c r="BE102" s="9" t="s">
        <v>86</v>
      </c>
      <c r="BF102" s="9" t="s">
        <v>1111</v>
      </c>
      <c r="BG102" s="9" t="s">
        <v>303</v>
      </c>
      <c r="BH102" s="9" t="s">
        <v>304</v>
      </c>
      <c r="BI102" s="9" t="s">
        <v>1213</v>
      </c>
      <c r="BJ102" s="9" t="s">
        <v>1214</v>
      </c>
      <c r="BK102" s="11">
        <v>856</v>
      </c>
      <c r="BL102" s="16">
        <v>241.84719999999999</v>
      </c>
      <c r="BM102" s="10">
        <v>45860</v>
      </c>
      <c r="BN102" s="10">
        <v>45926</v>
      </c>
      <c r="BO102" s="10"/>
      <c r="BP102" s="16"/>
      <c r="BQ102" s="16"/>
      <c r="BR102" s="9"/>
      <c r="BS102" s="9"/>
      <c r="BT102" s="9"/>
      <c r="BU102" s="9"/>
      <c r="BV102" s="9"/>
      <c r="BW102" s="10"/>
      <c r="BX102" s="15" t="s">
        <v>1495</v>
      </c>
      <c r="BY102" s="10"/>
      <c r="BZ102" s="10"/>
      <c r="CA102" s="10"/>
      <c r="CB102" t="b">
        <v>0</v>
      </c>
      <c r="CC102" s="9" t="s">
        <v>308</v>
      </c>
      <c r="CD102" s="9" t="s">
        <v>309</v>
      </c>
    </row>
    <row r="103" spans="1:82" ht="29.1">
      <c r="A103" s="8">
        <v>95474</v>
      </c>
      <c r="B103" s="9" t="s">
        <v>1496</v>
      </c>
      <c r="C103" s="9" t="s">
        <v>628</v>
      </c>
      <c r="D103" s="10">
        <v>45761</v>
      </c>
      <c r="E103" s="9" t="s">
        <v>1497</v>
      </c>
      <c r="F103" s="9" t="s">
        <v>1498</v>
      </c>
      <c r="G103" s="9" t="s">
        <v>1499</v>
      </c>
      <c r="H103" s="9" t="s">
        <v>281</v>
      </c>
      <c r="I103" s="9" t="s">
        <v>282</v>
      </c>
      <c r="J103" s="9" t="s">
        <v>283</v>
      </c>
      <c r="K103" s="9" t="s">
        <v>284</v>
      </c>
      <c r="L103" s="9" t="s">
        <v>1500</v>
      </c>
      <c r="M103" s="9" t="s">
        <v>1501</v>
      </c>
      <c r="N103" s="8">
        <v>1</v>
      </c>
      <c r="O103" s="9" t="s">
        <v>1502</v>
      </c>
      <c r="P103" s="11">
        <v>324.87</v>
      </c>
      <c r="Q103" s="11">
        <v>250</v>
      </c>
      <c r="R103" s="11">
        <v>249</v>
      </c>
      <c r="S103" s="11">
        <v>1244</v>
      </c>
      <c r="T103" s="11">
        <v>404138.28</v>
      </c>
      <c r="U103" s="12">
        <v>5.3999999999999999E-2</v>
      </c>
      <c r="V103" s="12">
        <v>0.8639</v>
      </c>
      <c r="W103" s="11">
        <v>1240.0999999999999</v>
      </c>
      <c r="X103" s="9" t="s">
        <v>288</v>
      </c>
      <c r="Y103" s="10">
        <v>45120</v>
      </c>
      <c r="Z103" s="13">
        <v>0.12740000000000001</v>
      </c>
      <c r="AB103" t="b">
        <v>0</v>
      </c>
      <c r="AC103" s="9" t="s">
        <v>289</v>
      </c>
      <c r="AD103" s="9" t="s">
        <v>290</v>
      </c>
      <c r="AE103" s="8">
        <v>1426.6489999999999</v>
      </c>
      <c r="AF103" s="14">
        <v>45.294814000000002</v>
      </c>
      <c r="AG103" s="14">
        <v>2.174801</v>
      </c>
      <c r="AH103" s="9" t="s">
        <v>524</v>
      </c>
      <c r="AI103" s="15" t="s">
        <v>1503</v>
      </c>
      <c r="AJ103" s="9" t="s">
        <v>293</v>
      </c>
      <c r="AK103" s="9" t="s">
        <v>1504</v>
      </c>
      <c r="AL103" s="9" t="s">
        <v>1505</v>
      </c>
      <c r="AM103" s="9"/>
      <c r="AN103" s="9" t="s">
        <v>1506</v>
      </c>
      <c r="AO103" s="9"/>
      <c r="AP103" s="9" t="s">
        <v>323</v>
      </c>
      <c r="AQ103" s="9" t="s">
        <v>298</v>
      </c>
      <c r="AR103" t="b">
        <v>0</v>
      </c>
      <c r="AS103" s="10"/>
      <c r="AT103" s="10" t="s">
        <v>299</v>
      </c>
      <c r="AU103" s="9"/>
      <c r="AV103" t="b">
        <v>0</v>
      </c>
      <c r="AW103" s="12"/>
      <c r="AX103" s="11"/>
      <c r="AY103" s="9"/>
      <c r="AZ103" t="b">
        <v>0</v>
      </c>
      <c r="BA103" s="9"/>
      <c r="BB103" s="12"/>
      <c r="BC103" s="11"/>
      <c r="BD103" s="9" t="s">
        <v>325</v>
      </c>
      <c r="BE103" s="9" t="s">
        <v>47</v>
      </c>
      <c r="BF103" s="9" t="s">
        <v>702</v>
      </c>
      <c r="BG103" s="9" t="s">
        <v>416</v>
      </c>
      <c r="BH103" s="9" t="s">
        <v>304</v>
      </c>
      <c r="BI103" s="9" t="s">
        <v>638</v>
      </c>
      <c r="BJ103" s="9" t="s">
        <v>639</v>
      </c>
      <c r="BK103" s="11">
        <v>856</v>
      </c>
      <c r="BL103" s="16">
        <v>190.62728999999999</v>
      </c>
      <c r="BM103" s="10"/>
      <c r="BN103" s="10"/>
      <c r="BO103" s="10"/>
      <c r="BP103" s="16"/>
      <c r="BQ103" s="16"/>
      <c r="BR103" s="9"/>
      <c r="BS103" s="9"/>
      <c r="BT103" s="9"/>
      <c r="BU103" s="9"/>
      <c r="BV103" s="9"/>
      <c r="BW103" s="10"/>
      <c r="BX103" s="15" t="s">
        <v>1507</v>
      </c>
      <c r="BY103" s="10"/>
      <c r="BZ103" s="10"/>
      <c r="CA103" s="10"/>
      <c r="CB103" t="b">
        <v>0</v>
      </c>
      <c r="CC103" s="9" t="s">
        <v>308</v>
      </c>
      <c r="CD103" s="9" t="s">
        <v>309</v>
      </c>
    </row>
    <row r="104" spans="1:82">
      <c r="A104" s="8">
        <v>60912</v>
      </c>
      <c r="B104" s="9" t="s">
        <v>1508</v>
      </c>
      <c r="C104" s="9" t="s">
        <v>628</v>
      </c>
      <c r="D104" s="10">
        <v>45758</v>
      </c>
      <c r="E104" s="9" t="s">
        <v>1509</v>
      </c>
      <c r="F104" s="9" t="s">
        <v>1510</v>
      </c>
      <c r="G104" s="9" t="s">
        <v>1511</v>
      </c>
      <c r="H104" s="9" t="s">
        <v>281</v>
      </c>
      <c r="I104" s="9" t="s">
        <v>282</v>
      </c>
      <c r="J104" s="9" t="s">
        <v>283</v>
      </c>
      <c r="K104" s="9" t="s">
        <v>284</v>
      </c>
      <c r="L104" s="9" t="s">
        <v>1512</v>
      </c>
      <c r="M104" s="9" t="s">
        <v>1513</v>
      </c>
      <c r="N104" s="8">
        <v>2</v>
      </c>
      <c r="O104" s="9" t="s">
        <v>1514</v>
      </c>
      <c r="P104" s="11">
        <v>485.03</v>
      </c>
      <c r="Q104" s="11">
        <v>440</v>
      </c>
      <c r="R104" s="11">
        <v>416.6</v>
      </c>
      <c r="S104" s="11">
        <v>1183.5</v>
      </c>
      <c r="T104" s="11">
        <v>574033.005</v>
      </c>
      <c r="U104" s="12">
        <v>5.3999999999999999E-2</v>
      </c>
      <c r="V104" s="12">
        <v>0.86990000000000001</v>
      </c>
      <c r="W104" s="11">
        <v>1170.4100000000001</v>
      </c>
      <c r="X104" s="9" t="s">
        <v>288</v>
      </c>
      <c r="Y104" s="10">
        <v>44966</v>
      </c>
      <c r="Z104" s="13">
        <v>0.13120000000000001</v>
      </c>
      <c r="AB104" t="b">
        <v>0</v>
      </c>
      <c r="AC104" s="9" t="s">
        <v>289</v>
      </c>
      <c r="AD104" s="9" t="s">
        <v>290</v>
      </c>
      <c r="AE104" s="8">
        <v>2129.9839999999999</v>
      </c>
      <c r="AF104" s="14">
        <v>44.382159999999999</v>
      </c>
      <c r="AG104" s="14">
        <v>0.48687000000000002</v>
      </c>
      <c r="AH104" s="9" t="s">
        <v>524</v>
      </c>
      <c r="AI104" s="15" t="s">
        <v>396</v>
      </c>
      <c r="AJ104" s="9" t="s">
        <v>293</v>
      </c>
      <c r="AK104" s="9" t="s">
        <v>1515</v>
      </c>
      <c r="AL104" s="9" t="s">
        <v>1516</v>
      </c>
      <c r="AM104" s="9"/>
      <c r="AN104" s="9" t="s">
        <v>1517</v>
      </c>
      <c r="AO104" s="9"/>
      <c r="AP104" s="9" t="s">
        <v>371</v>
      </c>
      <c r="AQ104" s="9" t="s">
        <v>355</v>
      </c>
      <c r="AR104" t="b">
        <v>0</v>
      </c>
      <c r="AS104" s="10"/>
      <c r="AT104" s="10" t="s">
        <v>299</v>
      </c>
      <c r="AU104" s="9"/>
      <c r="AV104" t="b">
        <v>0</v>
      </c>
      <c r="AW104" s="12"/>
      <c r="AX104" s="11"/>
      <c r="AY104" s="9"/>
      <c r="AZ104" t="b">
        <v>0</v>
      </c>
      <c r="BA104" s="9"/>
      <c r="BB104" s="12"/>
      <c r="BC104" s="11"/>
      <c r="BD104" s="9" t="s">
        <v>300</v>
      </c>
      <c r="BE104" s="9" t="s">
        <v>47</v>
      </c>
      <c r="BF104" s="9" t="s">
        <v>373</v>
      </c>
      <c r="BG104" s="9" t="s">
        <v>749</v>
      </c>
      <c r="BH104" s="9" t="s">
        <v>304</v>
      </c>
      <c r="BI104" s="9" t="s">
        <v>638</v>
      </c>
      <c r="BJ104" s="9" t="s">
        <v>639</v>
      </c>
      <c r="BK104" s="11">
        <v>856</v>
      </c>
      <c r="BL104" s="16">
        <v>249.40601000000001</v>
      </c>
      <c r="BM104" s="10"/>
      <c r="BN104" s="10"/>
      <c r="BO104" s="10"/>
      <c r="BP104" s="16"/>
      <c r="BQ104" s="16"/>
      <c r="BR104" s="9"/>
      <c r="BS104" s="9"/>
      <c r="BT104" s="9"/>
      <c r="BU104" s="9"/>
      <c r="BV104" s="9"/>
      <c r="BW104" s="10"/>
      <c r="BX104" s="15" t="s">
        <v>1518</v>
      </c>
      <c r="BY104" s="10"/>
      <c r="BZ104" s="10"/>
      <c r="CA104" s="10"/>
      <c r="CB104" t="b">
        <v>0</v>
      </c>
      <c r="CC104" s="9" t="s">
        <v>308</v>
      </c>
      <c r="CD104" s="9" t="s">
        <v>309</v>
      </c>
    </row>
    <row r="105" spans="1:82">
      <c r="A105" s="8">
        <v>94549</v>
      </c>
      <c r="B105" s="9" t="s">
        <v>1519</v>
      </c>
      <c r="C105" s="9" t="s">
        <v>277</v>
      </c>
      <c r="D105" s="10">
        <v>45757</v>
      </c>
      <c r="E105" s="9" t="s">
        <v>1520</v>
      </c>
      <c r="F105" s="9" t="s">
        <v>1521</v>
      </c>
      <c r="G105" s="9" t="s">
        <v>1522</v>
      </c>
      <c r="H105" s="9" t="s">
        <v>281</v>
      </c>
      <c r="I105" s="9" t="s">
        <v>282</v>
      </c>
      <c r="J105" s="9" t="s">
        <v>283</v>
      </c>
      <c r="K105" s="9" t="s">
        <v>284</v>
      </c>
      <c r="L105" s="9" t="s">
        <v>1523</v>
      </c>
      <c r="M105" s="9" t="s">
        <v>1524</v>
      </c>
      <c r="N105" s="8">
        <v>1</v>
      </c>
      <c r="O105" s="9" t="s">
        <v>1525</v>
      </c>
      <c r="P105" s="11">
        <v>309.39999999999998</v>
      </c>
      <c r="Q105" s="11">
        <v>250</v>
      </c>
      <c r="R105" s="11">
        <v>249.9</v>
      </c>
      <c r="S105" s="11">
        <v>1168</v>
      </c>
      <c r="T105" s="11">
        <v>361379.2</v>
      </c>
      <c r="U105" s="12">
        <v>5.3999999999999999E-2</v>
      </c>
      <c r="V105" s="12">
        <v>0.87339999999999995</v>
      </c>
      <c r="W105" s="11">
        <v>1169.07</v>
      </c>
      <c r="X105" s="9" t="s">
        <v>288</v>
      </c>
      <c r="Y105" s="10">
        <v>45119</v>
      </c>
      <c r="Z105" s="13">
        <v>0.12740000000000001</v>
      </c>
      <c r="AB105" t="b">
        <v>0</v>
      </c>
      <c r="AC105" s="9" t="s">
        <v>289</v>
      </c>
      <c r="AD105" s="9" t="s">
        <v>290</v>
      </c>
      <c r="AE105" s="8">
        <v>1358.713</v>
      </c>
      <c r="AF105" s="14">
        <v>44.666809999999998</v>
      </c>
      <c r="AG105" s="14">
        <v>0.41256999999999999</v>
      </c>
      <c r="AH105" s="9" t="s">
        <v>291</v>
      </c>
      <c r="AI105" s="15" t="s">
        <v>396</v>
      </c>
      <c r="AJ105" s="9" t="s">
        <v>293</v>
      </c>
      <c r="AK105" s="9" t="s">
        <v>1526</v>
      </c>
      <c r="AL105" s="9" t="s">
        <v>1527</v>
      </c>
      <c r="AM105" s="9"/>
      <c r="AN105" s="9" t="s">
        <v>1528</v>
      </c>
      <c r="AO105" s="9"/>
      <c r="AP105" s="9" t="s">
        <v>371</v>
      </c>
      <c r="AQ105" s="9" t="s">
        <v>298</v>
      </c>
      <c r="AR105" t="b">
        <v>0</v>
      </c>
      <c r="AS105" s="10"/>
      <c r="AT105" s="10" t="s">
        <v>299</v>
      </c>
      <c r="AU105" s="9"/>
      <c r="AV105" t="b">
        <v>0</v>
      </c>
      <c r="AW105" s="12"/>
      <c r="AX105" s="11"/>
      <c r="AY105" s="9"/>
      <c r="AZ105" t="b">
        <v>0</v>
      </c>
      <c r="BA105" s="9"/>
      <c r="BB105" s="12"/>
      <c r="BC105" s="11"/>
      <c r="BD105" s="9" t="s">
        <v>300</v>
      </c>
      <c r="BE105" s="9" t="s">
        <v>301</v>
      </c>
      <c r="BF105" s="9" t="s">
        <v>373</v>
      </c>
      <c r="BG105" s="9" t="s">
        <v>749</v>
      </c>
      <c r="BH105" s="9" t="s">
        <v>304</v>
      </c>
      <c r="BI105" s="9" t="s">
        <v>305</v>
      </c>
      <c r="BJ105" s="9" t="s">
        <v>306</v>
      </c>
      <c r="BK105" s="11">
        <v>856</v>
      </c>
      <c r="BL105" s="16">
        <v>184.94980000000001</v>
      </c>
      <c r="BM105" s="10">
        <v>45777</v>
      </c>
      <c r="BN105" s="10"/>
      <c r="BO105" s="10"/>
      <c r="BP105" s="16"/>
      <c r="BQ105" s="16"/>
      <c r="BR105" s="9"/>
      <c r="BS105" s="9"/>
      <c r="BT105" s="9"/>
      <c r="BU105" s="9"/>
      <c r="BV105" s="9"/>
      <c r="BW105" s="10"/>
      <c r="BX105" s="15" t="s">
        <v>1529</v>
      </c>
      <c r="BY105" s="10"/>
      <c r="BZ105" s="10"/>
      <c r="CA105" s="10"/>
      <c r="CB105" t="b">
        <v>0</v>
      </c>
      <c r="CC105" s="9" t="s">
        <v>308</v>
      </c>
      <c r="CD105" s="9" t="s">
        <v>309</v>
      </c>
    </row>
    <row r="106" spans="1:82">
      <c r="A106" s="8">
        <v>95793</v>
      </c>
      <c r="B106" s="9" t="s">
        <v>1530</v>
      </c>
      <c r="C106" s="9" t="s">
        <v>628</v>
      </c>
      <c r="D106" s="10">
        <v>45757</v>
      </c>
      <c r="E106" s="9" t="s">
        <v>1531</v>
      </c>
      <c r="F106" s="9" t="s">
        <v>1532</v>
      </c>
      <c r="G106" s="9" t="s">
        <v>1533</v>
      </c>
      <c r="H106" s="9" t="s">
        <v>281</v>
      </c>
      <c r="I106" s="9" t="s">
        <v>282</v>
      </c>
      <c r="J106" s="9" t="s">
        <v>283</v>
      </c>
      <c r="K106" s="9" t="s">
        <v>284</v>
      </c>
      <c r="L106" s="9" t="s">
        <v>1534</v>
      </c>
      <c r="M106" s="9" t="s">
        <v>1535</v>
      </c>
      <c r="N106" s="8">
        <v>1</v>
      </c>
      <c r="O106" s="9" t="s">
        <v>1536</v>
      </c>
      <c r="P106" s="11">
        <v>277.09500000000003</v>
      </c>
      <c r="Q106" s="11">
        <v>220</v>
      </c>
      <c r="R106" s="11">
        <v>231</v>
      </c>
      <c r="S106" s="11">
        <v>1245</v>
      </c>
      <c r="T106" s="11">
        <v>344983.27500000002</v>
      </c>
      <c r="U106" s="12">
        <v>5.3999999999999999E-2</v>
      </c>
      <c r="V106" s="12">
        <v>0.86229999999999996</v>
      </c>
      <c r="W106" s="11">
        <v>1190.2</v>
      </c>
      <c r="X106" s="9" t="s">
        <v>288</v>
      </c>
      <c r="Y106" s="10">
        <v>45135</v>
      </c>
      <c r="Z106" s="13">
        <v>0.12740000000000001</v>
      </c>
      <c r="AA106" t="b">
        <v>1</v>
      </c>
      <c r="AB106" t="b">
        <v>0</v>
      </c>
      <c r="AC106" s="9" t="s">
        <v>289</v>
      </c>
      <c r="AD106" s="9" t="s">
        <v>290</v>
      </c>
      <c r="AE106" s="8">
        <v>1216.848</v>
      </c>
      <c r="AF106" s="14">
        <v>43.548650000000002</v>
      </c>
      <c r="AG106" s="14">
        <v>-0.96921000000000002</v>
      </c>
      <c r="AH106" s="9" t="s">
        <v>524</v>
      </c>
      <c r="AI106" s="15" t="s">
        <v>396</v>
      </c>
      <c r="AJ106" s="9" t="s">
        <v>293</v>
      </c>
      <c r="AK106" s="9" t="s">
        <v>1537</v>
      </c>
      <c r="AL106" s="9" t="s">
        <v>1538</v>
      </c>
      <c r="AM106" s="9"/>
      <c r="AN106" s="9" t="s">
        <v>1539</v>
      </c>
      <c r="AO106" s="9"/>
      <c r="AP106" s="9" t="s">
        <v>371</v>
      </c>
      <c r="AQ106" s="9" t="s">
        <v>1212</v>
      </c>
      <c r="AR106" t="b">
        <v>0</v>
      </c>
      <c r="AS106" s="10"/>
      <c r="AT106" s="10" t="s">
        <v>299</v>
      </c>
      <c r="AU106" s="9"/>
      <c r="AV106" t="b">
        <v>0</v>
      </c>
      <c r="AW106" s="12"/>
      <c r="AX106" s="11"/>
      <c r="AY106" s="9"/>
      <c r="AZ106" t="b">
        <v>0</v>
      </c>
      <c r="BA106" s="9"/>
      <c r="BB106" s="12"/>
      <c r="BC106" s="11"/>
      <c r="BD106" s="9" t="s">
        <v>325</v>
      </c>
      <c r="BE106" s="9" t="s">
        <v>47</v>
      </c>
      <c r="BF106" s="9" t="s">
        <v>373</v>
      </c>
      <c r="BG106" s="9" t="s">
        <v>374</v>
      </c>
      <c r="BH106" s="9" t="s">
        <v>304</v>
      </c>
      <c r="BI106" s="9" t="s">
        <v>638</v>
      </c>
      <c r="BJ106" s="9" t="s">
        <v>639</v>
      </c>
      <c r="BK106" s="11">
        <v>856</v>
      </c>
      <c r="BL106" s="16">
        <v>173.09386499999999</v>
      </c>
      <c r="BM106" s="10"/>
      <c r="BN106" s="10"/>
      <c r="BO106" s="10"/>
      <c r="BP106" s="16"/>
      <c r="BQ106" s="16"/>
      <c r="BR106" s="9"/>
      <c r="BS106" s="9"/>
      <c r="BT106" s="9"/>
      <c r="BU106" s="9"/>
      <c r="BV106" s="9"/>
      <c r="BW106" s="10"/>
      <c r="BX106" s="15" t="s">
        <v>1540</v>
      </c>
      <c r="BY106" s="10"/>
      <c r="BZ106" s="10"/>
      <c r="CA106" s="10"/>
      <c r="CB106" t="b">
        <v>0</v>
      </c>
      <c r="CC106" s="9" t="s">
        <v>308</v>
      </c>
      <c r="CD106" s="9" t="s">
        <v>309</v>
      </c>
    </row>
    <row r="107" spans="1:82">
      <c r="A107" s="8">
        <v>32121</v>
      </c>
      <c r="B107" s="9" t="s">
        <v>1541</v>
      </c>
      <c r="C107" s="9" t="s">
        <v>277</v>
      </c>
      <c r="D107" s="10">
        <v>45757</v>
      </c>
      <c r="E107" s="9" t="s">
        <v>1542</v>
      </c>
      <c r="F107" s="9" t="s">
        <v>1543</v>
      </c>
      <c r="G107" s="9" t="s">
        <v>1544</v>
      </c>
      <c r="H107" s="9" t="s">
        <v>281</v>
      </c>
      <c r="I107" s="9" t="s">
        <v>282</v>
      </c>
      <c r="J107" s="9" t="s">
        <v>719</v>
      </c>
      <c r="K107" s="9" t="s">
        <v>284</v>
      </c>
      <c r="L107" s="9" t="s">
        <v>1545</v>
      </c>
      <c r="M107" s="9" t="s">
        <v>1546</v>
      </c>
      <c r="N107" s="8">
        <v>1</v>
      </c>
      <c r="O107" s="9" t="s">
        <v>1547</v>
      </c>
      <c r="P107" s="11">
        <v>309.39999999999998</v>
      </c>
      <c r="Q107" s="11">
        <v>250</v>
      </c>
      <c r="R107" s="11">
        <v>249.99</v>
      </c>
      <c r="S107" s="11">
        <v>1133</v>
      </c>
      <c r="T107" s="11">
        <v>350550.2</v>
      </c>
      <c r="U107" s="12">
        <v>5.3999999999999999E-2</v>
      </c>
      <c r="V107" s="12">
        <v>0.875</v>
      </c>
      <c r="W107" s="11">
        <v>1133</v>
      </c>
      <c r="X107" s="9" t="s">
        <v>288</v>
      </c>
      <c r="Y107" s="10">
        <v>44925</v>
      </c>
      <c r="Z107" s="13">
        <v>0.13120000000000001</v>
      </c>
      <c r="AB107" t="b">
        <v>0</v>
      </c>
      <c r="AC107" s="9" t="s">
        <v>289</v>
      </c>
      <c r="AD107" s="9" t="s">
        <v>290</v>
      </c>
      <c r="AE107" s="8">
        <v>1358.713</v>
      </c>
      <c r="AF107" s="14">
        <v>45.611899999999999</v>
      </c>
      <c r="AG107" s="14">
        <v>0.23207</v>
      </c>
      <c r="AH107" s="9" t="s">
        <v>291</v>
      </c>
      <c r="AI107" s="15" t="s">
        <v>396</v>
      </c>
      <c r="AJ107" s="9" t="s">
        <v>293</v>
      </c>
      <c r="AK107" s="9" t="s">
        <v>1548</v>
      </c>
      <c r="AL107" s="9" t="s">
        <v>1549</v>
      </c>
      <c r="AM107" s="9"/>
      <c r="AN107" s="9" t="s">
        <v>1550</v>
      </c>
      <c r="AO107" s="9"/>
      <c r="AP107" s="9" t="s">
        <v>139</v>
      </c>
      <c r="AQ107" s="9" t="s">
        <v>372</v>
      </c>
      <c r="AR107" t="b">
        <v>0</v>
      </c>
      <c r="AS107" s="10"/>
      <c r="AT107" s="10" t="s">
        <v>299</v>
      </c>
      <c r="AU107" s="9"/>
      <c r="AV107" t="b">
        <v>0</v>
      </c>
      <c r="AW107" s="12"/>
      <c r="AX107" s="11"/>
      <c r="AY107" s="9"/>
      <c r="AZ107" t="b">
        <v>0</v>
      </c>
      <c r="BA107" s="9"/>
      <c r="BB107" s="12"/>
      <c r="BC107" s="11"/>
      <c r="BD107" s="9" t="s">
        <v>325</v>
      </c>
      <c r="BE107" s="9" t="s">
        <v>301</v>
      </c>
      <c r="BF107" s="9" t="s">
        <v>302</v>
      </c>
      <c r="BG107" s="9" t="s">
        <v>749</v>
      </c>
      <c r="BH107" s="9" t="s">
        <v>304</v>
      </c>
      <c r="BI107" s="9" t="s">
        <v>305</v>
      </c>
      <c r="BJ107" s="9" t="s">
        <v>306</v>
      </c>
      <c r="BK107" s="11">
        <v>856</v>
      </c>
      <c r="BL107" s="16">
        <v>184.94980000000001</v>
      </c>
      <c r="BM107" s="10">
        <v>45773</v>
      </c>
      <c r="BN107" s="10"/>
      <c r="BO107" s="10"/>
      <c r="BP107" s="16"/>
      <c r="BQ107" s="16"/>
      <c r="BR107" s="9"/>
      <c r="BS107" s="9"/>
      <c r="BT107" s="9"/>
      <c r="BU107" s="9"/>
      <c r="BV107" s="9"/>
      <c r="BW107" s="10"/>
      <c r="BX107" s="15" t="s">
        <v>1551</v>
      </c>
      <c r="BY107" s="10"/>
      <c r="BZ107" s="10"/>
      <c r="CA107" s="10"/>
      <c r="CB107" t="b">
        <v>0</v>
      </c>
      <c r="CC107" s="9" t="s">
        <v>308</v>
      </c>
      <c r="CD107" s="9" t="s">
        <v>309</v>
      </c>
    </row>
    <row r="108" spans="1:82">
      <c r="A108" s="8">
        <v>17709</v>
      </c>
      <c r="B108" s="9" t="s">
        <v>1552</v>
      </c>
      <c r="C108" s="9" t="s">
        <v>628</v>
      </c>
      <c r="D108" s="10">
        <v>45755</v>
      </c>
      <c r="E108" s="9" t="s">
        <v>1553</v>
      </c>
      <c r="F108" s="9" t="s">
        <v>1554</v>
      </c>
      <c r="G108" s="9" t="s">
        <v>1555</v>
      </c>
      <c r="H108" s="9" t="s">
        <v>281</v>
      </c>
      <c r="I108" s="9" t="s">
        <v>282</v>
      </c>
      <c r="J108" s="9" t="s">
        <v>283</v>
      </c>
      <c r="K108" s="9" t="s">
        <v>284</v>
      </c>
      <c r="L108" s="9" t="s">
        <v>1556</v>
      </c>
      <c r="M108" s="9" t="s">
        <v>1557</v>
      </c>
      <c r="N108" s="8">
        <v>2</v>
      </c>
      <c r="O108" s="9" t="s">
        <v>1558</v>
      </c>
      <c r="P108" s="11">
        <v>402.22</v>
      </c>
      <c r="Q108" s="11">
        <v>330</v>
      </c>
      <c r="R108" s="11">
        <v>330</v>
      </c>
      <c r="S108" s="11">
        <v>1232.9203980099501</v>
      </c>
      <c r="T108" s="11">
        <v>495905.24248756201</v>
      </c>
      <c r="U108" s="12">
        <v>5.3999999999999999E-2</v>
      </c>
      <c r="V108" s="12">
        <v>0.87429999999999997</v>
      </c>
      <c r="W108" s="11">
        <v>1256.23</v>
      </c>
      <c r="X108" s="9" t="s">
        <v>288</v>
      </c>
      <c r="Y108" s="10">
        <v>45131</v>
      </c>
      <c r="Z108" s="13">
        <v>0.12740000000000001</v>
      </c>
      <c r="AB108" t="b">
        <v>0</v>
      </c>
      <c r="AC108" s="9" t="s">
        <v>289</v>
      </c>
      <c r="AD108" s="9" t="s">
        <v>290</v>
      </c>
      <c r="AE108" s="8">
        <v>1766.328</v>
      </c>
      <c r="AF108" s="14">
        <v>45.584859999999999</v>
      </c>
      <c r="AG108" s="14">
        <v>5.1272099999999998</v>
      </c>
      <c r="AH108" s="9" t="s">
        <v>524</v>
      </c>
      <c r="AI108" s="15" t="s">
        <v>396</v>
      </c>
      <c r="AJ108" s="9" t="s">
        <v>293</v>
      </c>
      <c r="AK108" s="9" t="s">
        <v>1559</v>
      </c>
      <c r="AL108" s="9" t="s">
        <v>1560</v>
      </c>
      <c r="AM108" s="9"/>
      <c r="AN108" s="9" t="s">
        <v>1561</v>
      </c>
      <c r="AO108" s="9"/>
      <c r="AP108" s="9" t="s">
        <v>139</v>
      </c>
      <c r="AQ108" s="9" t="s">
        <v>298</v>
      </c>
      <c r="AR108" t="b">
        <v>0</v>
      </c>
      <c r="AS108" s="10"/>
      <c r="AT108" s="10" t="s">
        <v>299</v>
      </c>
      <c r="AU108" s="9"/>
      <c r="AV108" t="b">
        <v>0</v>
      </c>
      <c r="AW108" s="12"/>
      <c r="AX108" s="11"/>
      <c r="AY108" s="9"/>
      <c r="AZ108" t="b">
        <v>0</v>
      </c>
      <c r="BA108" s="9"/>
      <c r="BB108" s="12"/>
      <c r="BC108" s="11"/>
      <c r="BD108" s="9" t="s">
        <v>300</v>
      </c>
      <c r="BE108" s="9" t="s">
        <v>47</v>
      </c>
      <c r="BF108" s="9" t="s">
        <v>402</v>
      </c>
      <c r="BG108" s="9" t="s">
        <v>967</v>
      </c>
      <c r="BH108" s="9" t="s">
        <v>304</v>
      </c>
      <c r="BI108" s="9" t="s">
        <v>638</v>
      </c>
      <c r="BJ108" s="9" t="s">
        <v>639</v>
      </c>
      <c r="BK108" s="11">
        <v>856</v>
      </c>
      <c r="BL108" s="16">
        <v>219.01473999999999</v>
      </c>
      <c r="BM108" s="10"/>
      <c r="BN108" s="10"/>
      <c r="BO108" s="10"/>
      <c r="BP108" s="16"/>
      <c r="BQ108" s="16"/>
      <c r="BR108" s="9"/>
      <c r="BS108" s="9"/>
      <c r="BT108" s="9"/>
      <c r="BU108" s="9"/>
      <c r="BV108" s="9"/>
      <c r="BW108" s="10"/>
      <c r="BX108" s="15" t="s">
        <v>703</v>
      </c>
      <c r="BY108" s="10"/>
      <c r="BZ108" s="10"/>
      <c r="CA108" s="10"/>
      <c r="CB108" t="b">
        <v>0</v>
      </c>
      <c r="CC108" s="9" t="s">
        <v>308</v>
      </c>
      <c r="CD108" s="9" t="s">
        <v>309</v>
      </c>
    </row>
    <row r="109" spans="1:82">
      <c r="A109" s="8">
        <v>94409</v>
      </c>
      <c r="B109" s="9" t="s">
        <v>1562</v>
      </c>
      <c r="C109" s="9" t="s">
        <v>277</v>
      </c>
      <c r="D109" s="10">
        <v>45755</v>
      </c>
      <c r="E109" s="9" t="s">
        <v>1563</v>
      </c>
      <c r="F109" s="9" t="s">
        <v>1564</v>
      </c>
      <c r="G109" s="9" t="s">
        <v>1565</v>
      </c>
      <c r="H109" s="9" t="s">
        <v>281</v>
      </c>
      <c r="I109" s="9" t="s">
        <v>282</v>
      </c>
      <c r="J109" s="9" t="s">
        <v>283</v>
      </c>
      <c r="K109" s="9" t="s">
        <v>284</v>
      </c>
      <c r="L109" s="9" t="s">
        <v>1566</v>
      </c>
      <c r="M109" s="9" t="s">
        <v>1567</v>
      </c>
      <c r="N109" s="8">
        <v>1</v>
      </c>
      <c r="O109" s="9" t="s">
        <v>1568</v>
      </c>
      <c r="P109" s="11">
        <v>309.39999999999998</v>
      </c>
      <c r="Q109" s="11">
        <v>250</v>
      </c>
      <c r="R109" s="11">
        <v>249</v>
      </c>
      <c r="S109" s="11">
        <v>1120</v>
      </c>
      <c r="T109" s="11">
        <v>346528</v>
      </c>
      <c r="U109" s="12">
        <v>5.3999999999999999E-2</v>
      </c>
      <c r="V109" s="12">
        <v>0.87490000000000001</v>
      </c>
      <c r="W109" s="11">
        <v>1112.42</v>
      </c>
      <c r="X109" s="9" t="s">
        <v>288</v>
      </c>
      <c r="Y109" s="10">
        <v>45132</v>
      </c>
      <c r="Z109" s="13">
        <v>0.12740000000000001</v>
      </c>
      <c r="AB109" t="b">
        <v>0</v>
      </c>
      <c r="AC109" s="9" t="s">
        <v>289</v>
      </c>
      <c r="AD109" s="9" t="s">
        <v>290</v>
      </c>
      <c r="AE109" s="8">
        <v>1358.713</v>
      </c>
      <c r="AF109" s="14">
        <v>46.556950000000001</v>
      </c>
      <c r="AG109" s="14">
        <v>5.0513599999999999</v>
      </c>
      <c r="AH109" s="9" t="s">
        <v>291</v>
      </c>
      <c r="AI109" s="15" t="s">
        <v>319</v>
      </c>
      <c r="AJ109" s="9" t="s">
        <v>293</v>
      </c>
      <c r="AK109" s="9" t="s">
        <v>1569</v>
      </c>
      <c r="AL109" s="9" t="s">
        <v>1570</v>
      </c>
      <c r="AM109" s="9"/>
      <c r="AN109" s="9" t="s">
        <v>1571</v>
      </c>
      <c r="AO109" s="9"/>
      <c r="AP109" s="9" t="s">
        <v>323</v>
      </c>
      <c r="AQ109" s="9" t="s">
        <v>298</v>
      </c>
      <c r="AR109" t="b">
        <v>0</v>
      </c>
      <c r="AS109" s="10"/>
      <c r="AT109" s="10" t="s">
        <v>299</v>
      </c>
      <c r="AU109" s="9"/>
      <c r="AV109" t="b">
        <v>0</v>
      </c>
      <c r="AW109" s="12"/>
      <c r="AX109" s="11"/>
      <c r="AY109" s="9"/>
      <c r="AZ109" t="b">
        <v>0</v>
      </c>
      <c r="BA109" s="9"/>
      <c r="BB109" s="12"/>
      <c r="BC109" s="11"/>
      <c r="BD109" s="9" t="s">
        <v>300</v>
      </c>
      <c r="BE109" s="9" t="s">
        <v>301</v>
      </c>
      <c r="BF109" s="9" t="s">
        <v>303</v>
      </c>
      <c r="BG109" s="9" t="s">
        <v>402</v>
      </c>
      <c r="BH109" s="9" t="s">
        <v>304</v>
      </c>
      <c r="BI109" s="9" t="s">
        <v>305</v>
      </c>
      <c r="BJ109" s="9" t="s">
        <v>306</v>
      </c>
      <c r="BK109" s="11">
        <v>856</v>
      </c>
      <c r="BL109" s="16">
        <v>184.94980000000001</v>
      </c>
      <c r="BM109" s="10">
        <v>45771</v>
      </c>
      <c r="BN109" s="10"/>
      <c r="BO109" s="10"/>
      <c r="BP109" s="16"/>
      <c r="BQ109" s="16"/>
      <c r="BR109" s="9"/>
      <c r="BS109" s="9"/>
      <c r="BT109" s="9"/>
      <c r="BU109" s="9"/>
      <c r="BV109" s="9"/>
      <c r="BW109" s="10"/>
      <c r="BX109" s="15" t="s">
        <v>586</v>
      </c>
      <c r="BY109" s="10"/>
      <c r="BZ109" s="10"/>
      <c r="CA109" s="10"/>
      <c r="CB109" t="b">
        <v>0</v>
      </c>
      <c r="CC109" s="9" t="s">
        <v>308</v>
      </c>
      <c r="CD109" s="9" t="s">
        <v>309</v>
      </c>
    </row>
    <row r="110" spans="1:82">
      <c r="A110" s="8">
        <v>95307</v>
      </c>
      <c r="B110" s="9" t="s">
        <v>1572</v>
      </c>
      <c r="C110" s="9" t="s">
        <v>277</v>
      </c>
      <c r="D110" s="10">
        <v>45751</v>
      </c>
      <c r="E110" s="9" t="s">
        <v>1573</v>
      </c>
      <c r="F110" s="9" t="s">
        <v>391</v>
      </c>
      <c r="G110" s="9" t="s">
        <v>863</v>
      </c>
      <c r="H110" s="9" t="s">
        <v>281</v>
      </c>
      <c r="I110" s="9" t="s">
        <v>282</v>
      </c>
      <c r="J110" s="9" t="s">
        <v>283</v>
      </c>
      <c r="K110" s="9" t="s">
        <v>284</v>
      </c>
      <c r="L110" s="9" t="s">
        <v>1574</v>
      </c>
      <c r="M110" s="9" t="s">
        <v>1575</v>
      </c>
      <c r="N110" s="8">
        <v>1</v>
      </c>
      <c r="O110" s="9" t="s">
        <v>1576</v>
      </c>
      <c r="P110" s="11">
        <v>324.87</v>
      </c>
      <c r="Q110" s="11">
        <v>250</v>
      </c>
      <c r="R110" s="11">
        <v>249.9</v>
      </c>
      <c r="S110" s="11">
        <v>1148</v>
      </c>
      <c r="T110" s="11">
        <v>372950.76</v>
      </c>
      <c r="U110" s="12">
        <v>5.3999999999999999E-2</v>
      </c>
      <c r="V110" s="12">
        <v>0.86950000000000005</v>
      </c>
      <c r="W110" s="11">
        <v>972.4</v>
      </c>
      <c r="X110" s="9" t="s">
        <v>288</v>
      </c>
      <c r="Y110" s="10">
        <v>44860</v>
      </c>
      <c r="Z110" s="13">
        <v>0.13120000000000001</v>
      </c>
      <c r="AB110" t="b">
        <v>0</v>
      </c>
      <c r="AC110" s="9" t="s">
        <v>289</v>
      </c>
      <c r="AD110" s="9" t="s">
        <v>290</v>
      </c>
      <c r="AE110" s="8">
        <v>1426.6489999999999</v>
      </c>
      <c r="AF110" s="14">
        <v>46.58728</v>
      </c>
      <c r="AG110" s="14">
        <v>3.5482100000000001</v>
      </c>
      <c r="AH110" s="9" t="s">
        <v>291</v>
      </c>
      <c r="AI110" s="15" t="s">
        <v>396</v>
      </c>
      <c r="AJ110" s="9" t="s">
        <v>293</v>
      </c>
      <c r="AK110" s="9" t="s">
        <v>1577</v>
      </c>
      <c r="AL110" s="9" t="s">
        <v>1578</v>
      </c>
      <c r="AM110" s="9"/>
      <c r="AN110" s="9" t="s">
        <v>1579</v>
      </c>
      <c r="AO110" s="9"/>
      <c r="AP110" s="9" t="s">
        <v>68</v>
      </c>
      <c r="AQ110" s="9" t="s">
        <v>298</v>
      </c>
      <c r="AR110" t="b">
        <v>0</v>
      </c>
      <c r="AS110" s="10"/>
      <c r="AT110" s="10" t="s">
        <v>299</v>
      </c>
      <c r="AU110" s="9"/>
      <c r="AV110" t="b">
        <v>0</v>
      </c>
      <c r="AW110" s="12"/>
      <c r="AX110" s="11"/>
      <c r="AY110" s="9"/>
      <c r="AZ110" t="b">
        <v>0</v>
      </c>
      <c r="BA110" s="9"/>
      <c r="BB110" s="12"/>
      <c r="BC110" s="11"/>
      <c r="BD110" s="9" t="s">
        <v>300</v>
      </c>
      <c r="BE110" s="9" t="s">
        <v>301</v>
      </c>
      <c r="BF110" s="9" t="s">
        <v>356</v>
      </c>
      <c r="BG110" s="9" t="s">
        <v>303</v>
      </c>
      <c r="BH110" s="9" t="s">
        <v>304</v>
      </c>
      <c r="BI110" s="9" t="s">
        <v>305</v>
      </c>
      <c r="BJ110" s="9" t="s">
        <v>306</v>
      </c>
      <c r="BK110" s="11">
        <v>856</v>
      </c>
      <c r="BL110" s="16">
        <v>190.62728999999999</v>
      </c>
      <c r="BM110" s="10">
        <v>45767</v>
      </c>
      <c r="BN110" s="10"/>
      <c r="BO110" s="10"/>
      <c r="BP110" s="16"/>
      <c r="BQ110" s="16"/>
      <c r="BR110" s="9"/>
      <c r="BS110" s="9"/>
      <c r="BT110" s="9"/>
      <c r="BU110" s="9"/>
      <c r="BV110" s="9"/>
      <c r="BW110" s="10"/>
      <c r="BX110" s="15" t="s">
        <v>503</v>
      </c>
      <c r="BY110" s="10"/>
      <c r="BZ110" s="10"/>
      <c r="CA110" s="10"/>
      <c r="CB110" t="b">
        <v>0</v>
      </c>
      <c r="CC110" s="9" t="s">
        <v>308</v>
      </c>
      <c r="CD110" s="9" t="s">
        <v>309</v>
      </c>
    </row>
    <row r="111" spans="1:82">
      <c r="A111" s="8">
        <v>82076</v>
      </c>
      <c r="B111" s="9" t="s">
        <v>1572</v>
      </c>
      <c r="C111" s="9" t="s">
        <v>932</v>
      </c>
      <c r="D111" s="10">
        <v>45751</v>
      </c>
      <c r="E111" s="9" t="s">
        <v>1573</v>
      </c>
      <c r="F111" s="9" t="s">
        <v>391</v>
      </c>
      <c r="G111" s="9" t="s">
        <v>863</v>
      </c>
      <c r="H111" s="9" t="s">
        <v>315</v>
      </c>
      <c r="I111" s="9" t="s">
        <v>282</v>
      </c>
      <c r="J111" s="9" t="s">
        <v>283</v>
      </c>
      <c r="K111" s="9" t="s">
        <v>284</v>
      </c>
      <c r="L111" s="9" t="s">
        <v>1580</v>
      </c>
      <c r="M111" s="9" t="s">
        <v>1581</v>
      </c>
      <c r="N111" s="8">
        <v>1</v>
      </c>
      <c r="O111" s="9" t="s">
        <v>1582</v>
      </c>
      <c r="P111" s="11">
        <v>348.88</v>
      </c>
      <c r="Q111" s="11">
        <v>250</v>
      </c>
      <c r="R111" s="11">
        <v>249.9</v>
      </c>
      <c r="S111" s="11">
        <v>1074</v>
      </c>
      <c r="T111" s="11">
        <v>374697.12</v>
      </c>
      <c r="U111" s="12">
        <v>5.3999999999999999E-2</v>
      </c>
      <c r="V111" s="12">
        <v>0.85599999999999998</v>
      </c>
      <c r="W111" s="11">
        <v>1059.4000000000001</v>
      </c>
      <c r="X111" s="9" t="s">
        <v>288</v>
      </c>
      <c r="Y111" s="10">
        <v>45250</v>
      </c>
      <c r="Z111" s="13">
        <v>0.12870000000000001</v>
      </c>
      <c r="AB111" t="b">
        <v>0</v>
      </c>
      <c r="AC111" s="9" t="s">
        <v>289</v>
      </c>
      <c r="AD111" s="9" t="s">
        <v>290</v>
      </c>
      <c r="AE111" s="8">
        <v>1566.5170000000001</v>
      </c>
      <c r="AF111" s="14">
        <v>46.587409999999998</v>
      </c>
      <c r="AG111" s="14">
        <v>3.5493999999999999</v>
      </c>
      <c r="AH111" s="9" t="s">
        <v>483</v>
      </c>
      <c r="AI111" s="15" t="s">
        <v>396</v>
      </c>
      <c r="AJ111" s="9" t="s">
        <v>293</v>
      </c>
      <c r="AK111" s="9" t="s">
        <v>1577</v>
      </c>
      <c r="AL111" s="9" t="s">
        <v>1578</v>
      </c>
      <c r="AM111" s="9"/>
      <c r="AN111" s="9" t="s">
        <v>1579</v>
      </c>
      <c r="AO111" s="9"/>
      <c r="AP111" s="9" t="s">
        <v>68</v>
      </c>
      <c r="AQ111" s="9" t="s">
        <v>68</v>
      </c>
      <c r="AR111" t="b">
        <v>1</v>
      </c>
      <c r="AS111" s="10">
        <v>46022</v>
      </c>
      <c r="AT111" s="10">
        <v>46022</v>
      </c>
      <c r="AU111" s="9" t="s">
        <v>1139</v>
      </c>
      <c r="AV111" t="b">
        <v>0</v>
      </c>
      <c r="AW111" s="12"/>
      <c r="AX111" s="11">
        <v>3000</v>
      </c>
      <c r="AY111" s="9" t="s">
        <v>471</v>
      </c>
      <c r="AZ111" t="b">
        <v>1</v>
      </c>
      <c r="BA111" s="9" t="s">
        <v>472</v>
      </c>
      <c r="BB111" s="12"/>
      <c r="BC111" s="11">
        <v>3000</v>
      </c>
      <c r="BD111" s="9" t="s">
        <v>300</v>
      </c>
      <c r="BE111" s="9" t="s">
        <v>301</v>
      </c>
      <c r="BF111" s="9" t="s">
        <v>356</v>
      </c>
      <c r="BG111" s="9" t="s">
        <v>303</v>
      </c>
      <c r="BH111" s="9" t="s">
        <v>304</v>
      </c>
      <c r="BI111" s="9" t="s">
        <v>943</v>
      </c>
      <c r="BJ111" s="9" t="s">
        <v>944</v>
      </c>
      <c r="BK111" s="11">
        <v>856</v>
      </c>
      <c r="BL111" s="16">
        <v>193.13896</v>
      </c>
      <c r="BM111" s="10">
        <v>45767</v>
      </c>
      <c r="BN111" s="10">
        <v>45929</v>
      </c>
      <c r="BO111" s="10"/>
      <c r="BP111" s="16"/>
      <c r="BQ111" s="16"/>
      <c r="BR111" s="9" t="s">
        <v>1577</v>
      </c>
      <c r="BS111" s="9" t="s">
        <v>1583</v>
      </c>
      <c r="BT111" s="9" t="s">
        <v>1584</v>
      </c>
      <c r="BU111" s="9" t="s">
        <v>391</v>
      </c>
      <c r="BV111" s="9"/>
      <c r="BW111" s="10"/>
      <c r="BX111" s="15" t="s">
        <v>870</v>
      </c>
      <c r="BY111" s="10"/>
      <c r="BZ111" s="10"/>
      <c r="CA111" s="10"/>
      <c r="CB111" t="b">
        <v>0</v>
      </c>
      <c r="CC111" s="9" t="s">
        <v>308</v>
      </c>
      <c r="CD111" s="9" t="s">
        <v>309</v>
      </c>
    </row>
    <row r="112" spans="1:82">
      <c r="A112" s="8">
        <v>95837</v>
      </c>
      <c r="B112" s="9" t="s">
        <v>1585</v>
      </c>
      <c r="C112" s="9" t="s">
        <v>377</v>
      </c>
      <c r="D112" s="10">
        <v>45749</v>
      </c>
      <c r="E112" s="9" t="s">
        <v>1586</v>
      </c>
      <c r="F112" s="9" t="s">
        <v>1587</v>
      </c>
      <c r="G112" s="9" t="s">
        <v>1387</v>
      </c>
      <c r="H112" s="9" t="s">
        <v>315</v>
      </c>
      <c r="I112" s="9" t="s">
        <v>282</v>
      </c>
      <c r="J112" s="9" t="s">
        <v>283</v>
      </c>
      <c r="K112" s="9" t="s">
        <v>284</v>
      </c>
      <c r="L112" s="9" t="s">
        <v>1588</v>
      </c>
      <c r="M112" s="9" t="s">
        <v>1589</v>
      </c>
      <c r="N112" s="8">
        <v>1</v>
      </c>
      <c r="O112" s="9" t="s">
        <v>1590</v>
      </c>
      <c r="P112" s="11">
        <v>271.63499999999999</v>
      </c>
      <c r="Q112" s="11">
        <v>220</v>
      </c>
      <c r="R112" s="11">
        <v>192.3</v>
      </c>
      <c r="S112" s="11">
        <v>1130</v>
      </c>
      <c r="T112" s="11">
        <v>306947.55</v>
      </c>
      <c r="U112" s="12">
        <v>5.3999999999999999E-2</v>
      </c>
      <c r="V112" s="12">
        <v>0.87280000000000002</v>
      </c>
      <c r="W112" s="11">
        <v>1103.7</v>
      </c>
      <c r="X112" s="9" t="s">
        <v>288</v>
      </c>
      <c r="Y112" s="10">
        <v>45002</v>
      </c>
      <c r="Z112" s="13">
        <v>0.12870000000000001</v>
      </c>
      <c r="AB112" t="b">
        <v>0</v>
      </c>
      <c r="AC112" s="9" t="s">
        <v>289</v>
      </c>
      <c r="AD112" s="9" t="s">
        <v>290</v>
      </c>
      <c r="AE112" s="8">
        <v>1192.8699999999999</v>
      </c>
      <c r="AF112" s="14">
        <v>46.120254000000003</v>
      </c>
      <c r="AG112" s="14">
        <v>1.555914</v>
      </c>
      <c r="AH112" s="9" t="s">
        <v>291</v>
      </c>
      <c r="AI112" s="15" t="s">
        <v>1591</v>
      </c>
      <c r="AJ112" s="9" t="s">
        <v>293</v>
      </c>
      <c r="AK112" s="9" t="s">
        <v>1592</v>
      </c>
      <c r="AL112" s="9" t="s">
        <v>1593</v>
      </c>
      <c r="AM112" s="9"/>
      <c r="AN112" s="9" t="s">
        <v>1594</v>
      </c>
      <c r="AO112" s="9"/>
      <c r="AP112" s="9" t="s">
        <v>323</v>
      </c>
      <c r="AQ112" s="9" t="s">
        <v>341</v>
      </c>
      <c r="AR112" t="b">
        <v>0</v>
      </c>
      <c r="AS112" s="10"/>
      <c r="AT112" s="10" t="s">
        <v>299</v>
      </c>
      <c r="AU112" s="9"/>
      <c r="AV112" t="b">
        <v>0</v>
      </c>
      <c r="AW112" s="12"/>
      <c r="AX112" s="11"/>
      <c r="AY112" s="9"/>
      <c r="AZ112" t="b">
        <v>0</v>
      </c>
      <c r="BA112" s="9"/>
      <c r="BB112" s="12"/>
      <c r="BC112" s="11"/>
      <c r="BD112" s="9" t="s">
        <v>325</v>
      </c>
      <c r="BE112" s="9" t="s">
        <v>301</v>
      </c>
      <c r="BF112" s="9" t="s">
        <v>373</v>
      </c>
      <c r="BG112" s="9" t="s">
        <v>327</v>
      </c>
      <c r="BH112" s="9" t="s">
        <v>304</v>
      </c>
      <c r="BI112" s="9" t="s">
        <v>386</v>
      </c>
      <c r="BJ112" s="9" t="s">
        <v>387</v>
      </c>
      <c r="BK112" s="11">
        <v>856</v>
      </c>
      <c r="BL112" s="16">
        <v>171.090045</v>
      </c>
      <c r="BM112" s="10">
        <v>45766</v>
      </c>
      <c r="BN112" s="10"/>
      <c r="BO112" s="10"/>
      <c r="BP112" s="16"/>
      <c r="BQ112" s="16"/>
      <c r="BR112" s="9"/>
      <c r="BS112" s="9"/>
      <c r="BT112" s="9"/>
      <c r="BU112" s="9"/>
      <c r="BV112" s="9"/>
      <c r="BW112" s="10"/>
      <c r="BX112" s="15" t="s">
        <v>1595</v>
      </c>
      <c r="BY112" s="10"/>
      <c r="BZ112" s="10"/>
      <c r="CA112" s="10"/>
      <c r="CB112" t="b">
        <v>0</v>
      </c>
      <c r="CC112" s="9" t="s">
        <v>308</v>
      </c>
      <c r="CD112" s="9" t="s">
        <v>309</v>
      </c>
    </row>
    <row r="113" spans="1:82">
      <c r="A113" s="8">
        <v>89219</v>
      </c>
      <c r="B113" s="9" t="s">
        <v>50</v>
      </c>
      <c r="C113" s="9" t="s">
        <v>277</v>
      </c>
      <c r="D113" s="10">
        <v>45748</v>
      </c>
      <c r="E113" s="9" t="s">
        <v>1596</v>
      </c>
      <c r="F113" s="9" t="s">
        <v>1597</v>
      </c>
      <c r="G113" s="9" t="s">
        <v>1598</v>
      </c>
      <c r="H113" s="9" t="s">
        <v>281</v>
      </c>
      <c r="I113" s="9" t="s">
        <v>282</v>
      </c>
      <c r="J113" s="9" t="s">
        <v>283</v>
      </c>
      <c r="K113" s="9" t="s">
        <v>284</v>
      </c>
      <c r="L113" s="9" t="s">
        <v>1599</v>
      </c>
      <c r="M113" s="9" t="s">
        <v>1600</v>
      </c>
      <c r="N113" s="8">
        <v>1</v>
      </c>
      <c r="O113" s="9" t="s">
        <v>1601</v>
      </c>
      <c r="P113" s="11">
        <v>309.39999999999998</v>
      </c>
      <c r="Q113" s="11">
        <v>250</v>
      </c>
      <c r="R113" s="11">
        <v>249.9</v>
      </c>
      <c r="S113" s="11">
        <v>1123</v>
      </c>
      <c r="T113" s="11">
        <v>347456.2</v>
      </c>
      <c r="U113" s="12">
        <v>5.3999999999999999E-2</v>
      </c>
      <c r="V113" s="12">
        <v>0.87639999999999996</v>
      </c>
      <c r="W113" s="11">
        <v>1093.69</v>
      </c>
      <c r="X113" s="9" t="s">
        <v>288</v>
      </c>
      <c r="Y113" s="10">
        <v>45119</v>
      </c>
      <c r="Z113" s="13">
        <v>0.12740000000000001</v>
      </c>
      <c r="AB113" t="b">
        <v>0</v>
      </c>
      <c r="AC113" s="9" t="s">
        <v>289</v>
      </c>
      <c r="AD113" s="9" t="s">
        <v>290</v>
      </c>
      <c r="AE113" s="8">
        <v>1358.71</v>
      </c>
      <c r="AF113" s="14">
        <v>46.249189999999999</v>
      </c>
      <c r="AG113" s="14">
        <v>3.88361</v>
      </c>
      <c r="AH113" s="9" t="s">
        <v>291</v>
      </c>
      <c r="AI113" s="15" t="s">
        <v>396</v>
      </c>
      <c r="AJ113" s="9" t="s">
        <v>293</v>
      </c>
      <c r="AK113" s="9" t="s">
        <v>1602</v>
      </c>
      <c r="AL113" s="9" t="s">
        <v>1603</v>
      </c>
      <c r="AM113" s="9"/>
      <c r="AN113" s="9" t="s">
        <v>1604</v>
      </c>
      <c r="AO113" s="9" t="s">
        <v>1605</v>
      </c>
      <c r="AP113" s="9" t="s">
        <v>323</v>
      </c>
      <c r="AQ113" s="9" t="s">
        <v>1606</v>
      </c>
      <c r="AR113" t="b">
        <v>0</v>
      </c>
      <c r="AS113" s="10"/>
      <c r="AT113" s="10" t="s">
        <v>299</v>
      </c>
      <c r="AU113" s="9"/>
      <c r="AV113" t="b">
        <v>0</v>
      </c>
      <c r="AW113" s="12"/>
      <c r="AX113" s="11"/>
      <c r="AY113" s="9"/>
      <c r="AZ113" t="b">
        <v>0</v>
      </c>
      <c r="BA113" s="9"/>
      <c r="BB113" s="12"/>
      <c r="BC113" s="11"/>
      <c r="BD113" s="9" t="s">
        <v>300</v>
      </c>
      <c r="BE113" s="9" t="s">
        <v>301</v>
      </c>
      <c r="BF113" s="9" t="s">
        <v>402</v>
      </c>
      <c r="BG113" s="9" t="s">
        <v>327</v>
      </c>
      <c r="BH113" s="9" t="s">
        <v>304</v>
      </c>
      <c r="BI113" s="9" t="s">
        <v>305</v>
      </c>
      <c r="BJ113" s="9" t="s">
        <v>306</v>
      </c>
      <c r="BK113" s="11">
        <v>856</v>
      </c>
      <c r="BL113" s="16">
        <v>184.94980000000001</v>
      </c>
      <c r="BM113" s="10">
        <v>45772</v>
      </c>
      <c r="BN113" s="10"/>
      <c r="BO113" s="10"/>
      <c r="BP113" s="16"/>
      <c r="BQ113" s="16"/>
      <c r="BR113" s="9"/>
      <c r="BS113" s="9"/>
      <c r="BT113" s="9"/>
      <c r="BU113" s="9"/>
      <c r="BV113" s="9"/>
      <c r="BW113" s="10"/>
      <c r="BX113" s="15" t="s">
        <v>1607</v>
      </c>
      <c r="BY113" s="10"/>
      <c r="BZ113" s="10"/>
      <c r="CA113" s="10"/>
      <c r="CB113" t="b">
        <v>0</v>
      </c>
      <c r="CC113" s="9" t="s">
        <v>308</v>
      </c>
      <c r="CD113" s="9" t="s">
        <v>309</v>
      </c>
    </row>
    <row r="114" spans="1:82">
      <c r="A114" s="8">
        <v>97574</v>
      </c>
      <c r="B114" s="9" t="s">
        <v>1608</v>
      </c>
      <c r="C114" s="9" t="s">
        <v>628</v>
      </c>
      <c r="D114" s="10">
        <v>45747</v>
      </c>
      <c r="E114" s="9" t="s">
        <v>1609</v>
      </c>
      <c r="F114" s="9" t="s">
        <v>1610</v>
      </c>
      <c r="G114" s="9" t="s">
        <v>1611</v>
      </c>
      <c r="H114" s="9" t="s">
        <v>281</v>
      </c>
      <c r="I114" s="9" t="s">
        <v>282</v>
      </c>
      <c r="J114" s="9" t="s">
        <v>547</v>
      </c>
      <c r="K114" s="9" t="s">
        <v>284</v>
      </c>
      <c r="L114" s="9" t="s">
        <v>1612</v>
      </c>
      <c r="M114" s="9" t="s">
        <v>1613</v>
      </c>
      <c r="N114" s="8">
        <v>1</v>
      </c>
      <c r="O114" s="9" t="s">
        <v>1614</v>
      </c>
      <c r="P114" s="11">
        <v>218.4</v>
      </c>
      <c r="Q114" s="11">
        <v>220</v>
      </c>
      <c r="R114" s="11">
        <v>149.4</v>
      </c>
      <c r="S114" s="11">
        <v>1169</v>
      </c>
      <c r="T114" s="11">
        <v>255309.6</v>
      </c>
      <c r="U114" s="12">
        <v>5.3999999999999999E-2</v>
      </c>
      <c r="V114" s="12">
        <v>0.878</v>
      </c>
      <c r="W114" s="11">
        <v>1192.9000000000001</v>
      </c>
      <c r="X114" s="9" t="s">
        <v>288</v>
      </c>
      <c r="Y114" s="10">
        <v>45016</v>
      </c>
      <c r="Z114" s="13">
        <v>0.13120000000000001</v>
      </c>
      <c r="AB114" t="b">
        <v>0</v>
      </c>
      <c r="AC114" s="9" t="s">
        <v>289</v>
      </c>
      <c r="AD114" s="9" t="s">
        <v>290</v>
      </c>
      <c r="AE114" s="8">
        <v>959.09199999999998</v>
      </c>
      <c r="AF114" s="14">
        <v>45.431027</v>
      </c>
      <c r="AG114" s="14">
        <v>2.174296</v>
      </c>
      <c r="AH114" s="9" t="s">
        <v>524</v>
      </c>
      <c r="AI114" s="15" t="s">
        <v>319</v>
      </c>
      <c r="AJ114" s="9" t="s">
        <v>293</v>
      </c>
      <c r="AK114" s="9" t="s">
        <v>1615</v>
      </c>
      <c r="AL114" s="9" t="s">
        <v>1616</v>
      </c>
      <c r="AM114" s="9"/>
      <c r="AN114" s="9" t="s">
        <v>1617</v>
      </c>
      <c r="AO114" s="9"/>
      <c r="AP114" s="9" t="s">
        <v>323</v>
      </c>
      <c r="AQ114" s="9" t="s">
        <v>355</v>
      </c>
      <c r="AR114" t="b">
        <v>0</v>
      </c>
      <c r="AS114" s="10"/>
      <c r="AT114" s="10" t="s">
        <v>299</v>
      </c>
      <c r="AU114" s="9"/>
      <c r="AV114" t="b">
        <v>0</v>
      </c>
      <c r="AW114" s="12"/>
      <c r="AX114" s="11"/>
      <c r="AY114" s="9"/>
      <c r="AZ114" t="b">
        <v>0</v>
      </c>
      <c r="BA114" s="9"/>
      <c r="BB114" s="12"/>
      <c r="BC114" s="11"/>
      <c r="BD114" s="9" t="s">
        <v>325</v>
      </c>
      <c r="BE114" s="9" t="s">
        <v>47</v>
      </c>
      <c r="BF114" s="9" t="s">
        <v>702</v>
      </c>
      <c r="BG114" s="9" t="s">
        <v>327</v>
      </c>
      <c r="BH114" s="9" t="s">
        <v>304</v>
      </c>
      <c r="BI114" s="9" t="s">
        <v>638</v>
      </c>
      <c r="BJ114" s="9" t="s">
        <v>639</v>
      </c>
      <c r="BK114" s="11">
        <v>856</v>
      </c>
      <c r="BL114" s="16">
        <v>151.55279999999999</v>
      </c>
      <c r="BM114" s="10"/>
      <c r="BN114" s="10"/>
      <c r="BO114" s="10"/>
      <c r="BP114" s="16"/>
      <c r="BQ114" s="16"/>
      <c r="BR114" s="9"/>
      <c r="BS114" s="9"/>
      <c r="BT114" s="9"/>
      <c r="BU114" s="9"/>
      <c r="BV114" s="9"/>
      <c r="BW114" s="10"/>
      <c r="BX114" s="15" t="s">
        <v>1618</v>
      </c>
      <c r="BY114" s="10"/>
      <c r="BZ114" s="10"/>
      <c r="CA114" s="10"/>
      <c r="CB114" t="b">
        <v>0</v>
      </c>
      <c r="CC114" s="9" t="s">
        <v>308</v>
      </c>
      <c r="CD114" s="9" t="s">
        <v>309</v>
      </c>
    </row>
    <row r="115" spans="1:82">
      <c r="A115" s="8">
        <v>31971</v>
      </c>
      <c r="B115" s="9" t="s">
        <v>1619</v>
      </c>
      <c r="C115" s="9" t="s">
        <v>970</v>
      </c>
      <c r="D115" s="10">
        <v>45744</v>
      </c>
      <c r="E115" s="9" t="s">
        <v>1620</v>
      </c>
      <c r="F115" s="9" t="s">
        <v>1621</v>
      </c>
      <c r="G115" s="9" t="s">
        <v>1622</v>
      </c>
      <c r="H115" s="9" t="s">
        <v>281</v>
      </c>
      <c r="I115" s="9" t="s">
        <v>1623</v>
      </c>
      <c r="J115" s="9" t="s">
        <v>547</v>
      </c>
      <c r="K115" s="9" t="s">
        <v>284</v>
      </c>
      <c r="L115" s="9" t="s">
        <v>1624</v>
      </c>
      <c r="M115" s="9" t="s">
        <v>1625</v>
      </c>
      <c r="N115" s="8">
        <v>1</v>
      </c>
      <c r="O115" s="9" t="s">
        <v>1626</v>
      </c>
      <c r="P115" s="11">
        <v>269.45</v>
      </c>
      <c r="Q115" s="11">
        <v>220</v>
      </c>
      <c r="R115" s="11">
        <v>220</v>
      </c>
      <c r="S115" s="11">
        <v>1354</v>
      </c>
      <c r="T115" s="11">
        <v>364835.3</v>
      </c>
      <c r="U115" s="12">
        <v>5.3999999999999999E-2</v>
      </c>
      <c r="V115" s="12">
        <v>0.84899999999999998</v>
      </c>
      <c r="W115" s="11">
        <v>1398.7</v>
      </c>
      <c r="X115" s="9" t="s">
        <v>288</v>
      </c>
      <c r="Y115" s="10">
        <v>45485</v>
      </c>
      <c r="Z115" s="13">
        <v>0.11119999999999999</v>
      </c>
      <c r="AB115" t="b">
        <v>0</v>
      </c>
      <c r="AC115" s="9" t="s">
        <v>289</v>
      </c>
      <c r="AD115" s="9" t="s">
        <v>290</v>
      </c>
      <c r="AE115" s="8">
        <v>1238.0419999999999</v>
      </c>
      <c r="AF115" s="14">
        <v>43.365400000000001</v>
      </c>
      <c r="AG115" s="14">
        <v>3.2528999999999999</v>
      </c>
      <c r="AH115" s="9" t="s">
        <v>483</v>
      </c>
      <c r="AI115" s="15" t="s">
        <v>319</v>
      </c>
      <c r="AJ115" s="9" t="s">
        <v>293</v>
      </c>
      <c r="AK115" s="9" t="s">
        <v>1627</v>
      </c>
      <c r="AL115" s="9" t="s">
        <v>1628</v>
      </c>
      <c r="AM115" s="9" t="s">
        <v>1629</v>
      </c>
      <c r="AN115" s="9" t="s">
        <v>1630</v>
      </c>
      <c r="AO115" s="9"/>
      <c r="AP115" s="9" t="s">
        <v>43</v>
      </c>
      <c r="AQ115" s="9" t="s">
        <v>847</v>
      </c>
      <c r="AR115" t="b">
        <v>1</v>
      </c>
      <c r="AS115" s="10">
        <v>46022</v>
      </c>
      <c r="AT115" s="10">
        <v>46022</v>
      </c>
      <c r="AU115" s="9" t="s">
        <v>1139</v>
      </c>
      <c r="AV115" t="b">
        <v>0</v>
      </c>
      <c r="AW115" s="12"/>
      <c r="AX115" s="11">
        <v>4000</v>
      </c>
      <c r="AY115" s="9" t="s">
        <v>471</v>
      </c>
      <c r="AZ115" t="b">
        <v>1</v>
      </c>
      <c r="BA115" s="9" t="s">
        <v>472</v>
      </c>
      <c r="BB115" s="12"/>
      <c r="BC115" s="11">
        <v>4000</v>
      </c>
      <c r="BD115" s="9" t="s">
        <v>325</v>
      </c>
      <c r="BE115" s="9" t="s">
        <v>301</v>
      </c>
      <c r="BF115" s="9" t="s">
        <v>690</v>
      </c>
      <c r="BG115" s="9" t="s">
        <v>738</v>
      </c>
      <c r="BH115" s="9" t="s">
        <v>304</v>
      </c>
      <c r="BI115" s="9" t="s">
        <v>981</v>
      </c>
      <c r="BJ115" s="9" t="s">
        <v>982</v>
      </c>
      <c r="BK115" s="11">
        <v>856</v>
      </c>
      <c r="BL115" s="16">
        <v>163.98814999999999</v>
      </c>
      <c r="BM115" s="10">
        <v>45788</v>
      </c>
      <c r="BN115" s="10">
        <v>45912</v>
      </c>
      <c r="BO115" s="10"/>
      <c r="BP115" s="16"/>
      <c r="BQ115" s="16"/>
      <c r="BR115" s="9" t="s">
        <v>1631</v>
      </c>
      <c r="BS115" s="9" t="s">
        <v>1632</v>
      </c>
      <c r="BT115" s="9" t="s">
        <v>1633</v>
      </c>
      <c r="BU115" s="9" t="s">
        <v>1621</v>
      </c>
      <c r="BV115" s="9" t="s">
        <v>1634</v>
      </c>
      <c r="BW115" s="10"/>
      <c r="BX115" s="15" t="s">
        <v>1635</v>
      </c>
      <c r="BY115" s="10"/>
      <c r="BZ115" s="10"/>
      <c r="CA115" s="10"/>
      <c r="CB115" t="b">
        <v>0</v>
      </c>
      <c r="CC115" s="9" t="s">
        <v>308</v>
      </c>
      <c r="CD115" s="9" t="s">
        <v>309</v>
      </c>
    </row>
    <row r="116" spans="1:82">
      <c r="A116" s="8">
        <v>95695</v>
      </c>
      <c r="B116" s="9" t="s">
        <v>1636</v>
      </c>
      <c r="C116" s="9" t="s">
        <v>1204</v>
      </c>
      <c r="D116" s="10">
        <v>45743</v>
      </c>
      <c r="E116" s="9" t="s">
        <v>141</v>
      </c>
      <c r="F116" s="9" t="s">
        <v>1168</v>
      </c>
      <c r="G116" s="9" t="s">
        <v>1637</v>
      </c>
      <c r="H116" s="9" t="s">
        <v>315</v>
      </c>
      <c r="I116" s="9" t="s">
        <v>282</v>
      </c>
      <c r="J116" s="9" t="s">
        <v>283</v>
      </c>
      <c r="K116" s="9" t="s">
        <v>284</v>
      </c>
      <c r="L116" s="9" t="s">
        <v>1638</v>
      </c>
      <c r="M116" s="9" t="s">
        <v>1639</v>
      </c>
      <c r="N116" s="8">
        <v>2</v>
      </c>
      <c r="O116" s="9" t="s">
        <v>1640</v>
      </c>
      <c r="P116" s="11">
        <v>456.82</v>
      </c>
      <c r="Q116" s="11">
        <v>440</v>
      </c>
      <c r="R116" s="11">
        <v>416.4</v>
      </c>
      <c r="S116" s="11">
        <v>1108.8399999999999</v>
      </c>
      <c r="T116" s="11">
        <v>506540.28879999998</v>
      </c>
      <c r="U116" s="12">
        <v>5.3999999999999999E-2</v>
      </c>
      <c r="V116" s="12">
        <v>0.86499999999999999</v>
      </c>
      <c r="W116" s="11">
        <v>1105.5999999999999</v>
      </c>
      <c r="X116" s="9" t="s">
        <v>288</v>
      </c>
      <c r="Y116" s="10">
        <v>45000</v>
      </c>
      <c r="Z116" s="13">
        <v>0.13120000000000001</v>
      </c>
      <c r="AA116" t="b">
        <v>1</v>
      </c>
      <c r="AB116" t="b">
        <v>0</v>
      </c>
      <c r="AC116" s="9" t="s">
        <v>289</v>
      </c>
      <c r="AD116" s="9" t="s">
        <v>290</v>
      </c>
      <c r="AE116" s="8">
        <v>2006.1</v>
      </c>
      <c r="AF116" s="14">
        <v>46.212595327494697</v>
      </c>
      <c r="AG116" s="14">
        <v>1.6665263501591501</v>
      </c>
      <c r="AH116" s="9" t="s">
        <v>483</v>
      </c>
      <c r="AI116" s="15" t="s">
        <v>1591</v>
      </c>
      <c r="AJ116" s="9" t="s">
        <v>293</v>
      </c>
      <c r="AK116" s="9" t="s">
        <v>1641</v>
      </c>
      <c r="AL116" s="9" t="s">
        <v>1642</v>
      </c>
      <c r="AM116" s="9"/>
      <c r="AN116" s="9" t="s">
        <v>1643</v>
      </c>
      <c r="AO116" s="9"/>
      <c r="AP116" s="9" t="s">
        <v>108</v>
      </c>
      <c r="AQ116" s="9" t="s">
        <v>1212</v>
      </c>
      <c r="AR116" t="b">
        <v>1</v>
      </c>
      <c r="AS116" s="10">
        <v>46022</v>
      </c>
      <c r="AT116" s="10">
        <v>46022</v>
      </c>
      <c r="AU116" s="9" t="s">
        <v>470</v>
      </c>
      <c r="AV116" t="b">
        <v>0</v>
      </c>
      <c r="AW116" s="12"/>
      <c r="AX116" s="11">
        <v>3500</v>
      </c>
      <c r="AY116" s="9" t="s">
        <v>471</v>
      </c>
      <c r="AZ116" t="b">
        <v>1</v>
      </c>
      <c r="BA116" s="9"/>
      <c r="BB116" s="12"/>
      <c r="BC116" s="11"/>
      <c r="BD116" s="9" t="s">
        <v>325</v>
      </c>
      <c r="BE116" s="9" t="s">
        <v>86</v>
      </c>
      <c r="BF116" s="9" t="s">
        <v>356</v>
      </c>
      <c r="BG116" s="9" t="s">
        <v>529</v>
      </c>
      <c r="BH116" s="9" t="s">
        <v>304</v>
      </c>
      <c r="BI116" s="9" t="s">
        <v>1213</v>
      </c>
      <c r="BJ116" s="9" t="s">
        <v>1214</v>
      </c>
      <c r="BK116" s="11">
        <v>856</v>
      </c>
      <c r="BL116" s="16">
        <v>232.75294</v>
      </c>
      <c r="BM116" s="10">
        <v>45759</v>
      </c>
      <c r="BN116" s="10">
        <v>45838</v>
      </c>
      <c r="BO116" s="10"/>
      <c r="BP116" s="16"/>
      <c r="BQ116" s="16"/>
      <c r="BR116" s="9" t="s">
        <v>1644</v>
      </c>
      <c r="BS116" s="9" t="s">
        <v>1645</v>
      </c>
      <c r="BT116" s="9" t="s">
        <v>1646</v>
      </c>
      <c r="BU116" s="9" t="s">
        <v>1168</v>
      </c>
      <c r="BV116" s="9"/>
      <c r="BW116" s="10"/>
      <c r="BX116" s="15" t="s">
        <v>1155</v>
      </c>
      <c r="BY116" s="10"/>
      <c r="BZ116" s="10"/>
      <c r="CA116" s="10"/>
      <c r="CB116" t="b">
        <v>1</v>
      </c>
      <c r="CC116" s="9" t="s">
        <v>308</v>
      </c>
      <c r="CD116" s="9" t="s">
        <v>309</v>
      </c>
    </row>
    <row r="117" spans="1:82">
      <c r="A117" s="8">
        <v>93146</v>
      </c>
      <c r="B117" s="9" t="s">
        <v>1647</v>
      </c>
      <c r="C117" s="9" t="s">
        <v>628</v>
      </c>
      <c r="D117" s="10">
        <v>45743</v>
      </c>
      <c r="E117" s="9" t="s">
        <v>1648</v>
      </c>
      <c r="F117" s="9" t="s">
        <v>1649</v>
      </c>
      <c r="G117" s="9" t="s">
        <v>1650</v>
      </c>
      <c r="H117" s="9" t="s">
        <v>281</v>
      </c>
      <c r="I117" s="9" t="s">
        <v>282</v>
      </c>
      <c r="J117" s="9" t="s">
        <v>283</v>
      </c>
      <c r="K117" s="9" t="s">
        <v>284</v>
      </c>
      <c r="L117" s="9" t="s">
        <v>1651</v>
      </c>
      <c r="M117" s="9" t="s">
        <v>1652</v>
      </c>
      <c r="N117" s="8">
        <v>1</v>
      </c>
      <c r="O117" s="9" t="s">
        <v>1653</v>
      </c>
      <c r="P117" s="11">
        <v>209.3</v>
      </c>
      <c r="Q117" s="11">
        <v>220</v>
      </c>
      <c r="R117" s="11">
        <v>176</v>
      </c>
      <c r="S117" s="11">
        <v>1211</v>
      </c>
      <c r="T117" s="11">
        <v>253462.3</v>
      </c>
      <c r="U117" s="12">
        <v>5.3999999999999999E-2</v>
      </c>
      <c r="V117" s="12">
        <v>0.88519999999999999</v>
      </c>
      <c r="W117" s="11">
        <v>1205.6099999999999</v>
      </c>
      <c r="X117" s="9" t="s">
        <v>288</v>
      </c>
      <c r="Y117" s="10">
        <v>44869</v>
      </c>
      <c r="Z117" s="13">
        <v>0.13120000000000001</v>
      </c>
      <c r="AB117" t="b">
        <v>0</v>
      </c>
      <c r="AC117" s="9" t="s">
        <v>289</v>
      </c>
      <c r="AD117" s="9" t="s">
        <v>290</v>
      </c>
      <c r="AE117" s="8">
        <v>919.13</v>
      </c>
      <c r="AF117" s="14">
        <v>44.821080000000002</v>
      </c>
      <c r="AG117" s="14">
        <v>3.1632500000000001</v>
      </c>
      <c r="AH117" s="9" t="s">
        <v>524</v>
      </c>
      <c r="AI117" s="15" t="s">
        <v>319</v>
      </c>
      <c r="AJ117" s="9" t="s">
        <v>293</v>
      </c>
      <c r="AK117" s="9" t="s">
        <v>1654</v>
      </c>
      <c r="AL117" s="9" t="s">
        <v>1655</v>
      </c>
      <c r="AM117" s="9"/>
      <c r="AN117" s="9" t="s">
        <v>1656</v>
      </c>
      <c r="AO117" s="9"/>
      <c r="AP117" s="9" t="s">
        <v>323</v>
      </c>
      <c r="AQ117" s="9" t="s">
        <v>372</v>
      </c>
      <c r="AR117" t="b">
        <v>0</v>
      </c>
      <c r="AS117" s="10"/>
      <c r="AT117" s="10" t="s">
        <v>299</v>
      </c>
      <c r="AU117" s="9"/>
      <c r="AV117" t="b">
        <v>0</v>
      </c>
      <c r="AW117" s="12"/>
      <c r="AX117" s="11"/>
      <c r="AY117" s="9"/>
      <c r="AZ117" t="b">
        <v>0</v>
      </c>
      <c r="BA117" s="9"/>
      <c r="BB117" s="12"/>
      <c r="BC117" s="11"/>
      <c r="BD117" s="9" t="s">
        <v>325</v>
      </c>
      <c r="BE117" s="9" t="s">
        <v>47</v>
      </c>
      <c r="BF117" s="9" t="s">
        <v>356</v>
      </c>
      <c r="BG117" s="9" t="s">
        <v>738</v>
      </c>
      <c r="BH117" s="9" t="s">
        <v>304</v>
      </c>
      <c r="BI117" s="9" t="s">
        <v>638</v>
      </c>
      <c r="BJ117" s="9" t="s">
        <v>639</v>
      </c>
      <c r="BK117" s="11">
        <v>856</v>
      </c>
      <c r="BL117" s="16">
        <v>148.2131</v>
      </c>
      <c r="BM117" s="10"/>
      <c r="BN117" s="10"/>
      <c r="BO117" s="10"/>
      <c r="BP117" s="16"/>
      <c r="BQ117" s="16"/>
      <c r="BR117" s="9"/>
      <c r="BS117" s="9"/>
      <c r="BT117" s="9"/>
      <c r="BU117" s="9"/>
      <c r="BV117" s="9"/>
      <c r="BW117" s="10"/>
      <c r="BX117" s="15" t="s">
        <v>586</v>
      </c>
      <c r="BY117" s="10"/>
      <c r="BZ117" s="10"/>
      <c r="CA117" s="10"/>
      <c r="CB117" t="b">
        <v>0</v>
      </c>
      <c r="CC117" s="9" t="s">
        <v>308</v>
      </c>
      <c r="CD117" s="9" t="s">
        <v>309</v>
      </c>
    </row>
    <row r="118" spans="1:82">
      <c r="A118" s="8">
        <v>93148</v>
      </c>
      <c r="B118" s="9" t="s">
        <v>1647</v>
      </c>
      <c r="C118" s="9" t="s">
        <v>628</v>
      </c>
      <c r="D118" s="10">
        <v>45743</v>
      </c>
      <c r="E118" s="9" t="s">
        <v>1648</v>
      </c>
      <c r="F118" s="9" t="s">
        <v>1649</v>
      </c>
      <c r="G118" s="9" t="s">
        <v>1650</v>
      </c>
      <c r="H118" s="9" t="s">
        <v>315</v>
      </c>
      <c r="I118" s="9" t="s">
        <v>282</v>
      </c>
      <c r="J118" s="9" t="s">
        <v>283</v>
      </c>
      <c r="K118" s="9" t="s">
        <v>284</v>
      </c>
      <c r="L118" s="9" t="s">
        <v>1657</v>
      </c>
      <c r="M118" s="9" t="s">
        <v>1658</v>
      </c>
      <c r="N118" s="8">
        <v>1</v>
      </c>
      <c r="O118" s="9" t="s">
        <v>1659</v>
      </c>
      <c r="P118" s="11">
        <v>170.17</v>
      </c>
      <c r="Q118" s="11">
        <v>110</v>
      </c>
      <c r="R118" s="11">
        <v>143</v>
      </c>
      <c r="S118" s="11">
        <v>1108</v>
      </c>
      <c r="T118" s="11">
        <v>188548.36</v>
      </c>
      <c r="U118" s="12">
        <v>5.3999999999999999E-2</v>
      </c>
      <c r="V118" s="12">
        <v>0.88319999999999999</v>
      </c>
      <c r="W118" s="11">
        <v>1256.1199999999999</v>
      </c>
      <c r="X118" s="9" t="s">
        <v>288</v>
      </c>
      <c r="Y118" s="10">
        <v>44854</v>
      </c>
      <c r="Z118" s="13">
        <v>0.13120000000000001</v>
      </c>
      <c r="AB118" t="b">
        <v>0</v>
      </c>
      <c r="AC118" s="9" t="s">
        <v>289</v>
      </c>
      <c r="AD118" s="9" t="s">
        <v>290</v>
      </c>
      <c r="AE118" s="8">
        <v>747.29200000000003</v>
      </c>
      <c r="AF118" s="14">
        <v>44.820343999999999</v>
      </c>
      <c r="AG118" s="14">
        <v>3.163618</v>
      </c>
      <c r="AH118" s="9" t="s">
        <v>524</v>
      </c>
      <c r="AI118" s="15" t="s">
        <v>319</v>
      </c>
      <c r="AJ118" s="9" t="s">
        <v>293</v>
      </c>
      <c r="AK118" s="9" t="s">
        <v>1654</v>
      </c>
      <c r="AL118" s="9" t="s">
        <v>1655</v>
      </c>
      <c r="AM118" s="9"/>
      <c r="AN118" s="9" t="s">
        <v>1656</v>
      </c>
      <c r="AO118" s="9"/>
      <c r="AP118" s="9" t="s">
        <v>323</v>
      </c>
      <c r="AQ118" s="9" t="s">
        <v>372</v>
      </c>
      <c r="AR118" t="b">
        <v>0</v>
      </c>
      <c r="AS118" s="10"/>
      <c r="AT118" s="10" t="s">
        <v>299</v>
      </c>
      <c r="AU118" s="9"/>
      <c r="AV118" t="b">
        <v>0</v>
      </c>
      <c r="AW118" s="12"/>
      <c r="AX118" s="11"/>
      <c r="AY118" s="9"/>
      <c r="AZ118" t="b">
        <v>0</v>
      </c>
      <c r="BA118" s="9"/>
      <c r="BB118" s="12"/>
      <c r="BC118" s="11"/>
      <c r="BD118" s="9" t="s">
        <v>325</v>
      </c>
      <c r="BE118" s="9" t="s">
        <v>47</v>
      </c>
      <c r="BF118" s="9" t="s">
        <v>356</v>
      </c>
      <c r="BG118" s="9" t="s">
        <v>738</v>
      </c>
      <c r="BH118" s="9" t="s">
        <v>304</v>
      </c>
      <c r="BI118" s="9" t="s">
        <v>638</v>
      </c>
      <c r="BJ118" s="9" t="s">
        <v>639</v>
      </c>
      <c r="BK118" s="11">
        <v>856</v>
      </c>
      <c r="BL118" s="16">
        <v>133.85239000000001</v>
      </c>
      <c r="BM118" s="10"/>
      <c r="BN118" s="10"/>
      <c r="BO118" s="10"/>
      <c r="BP118" s="16"/>
      <c r="BQ118" s="16"/>
      <c r="BR118" s="9"/>
      <c r="BS118" s="9"/>
      <c r="BT118" s="9"/>
      <c r="BU118" s="9"/>
      <c r="BV118" s="9"/>
      <c r="BW118" s="10"/>
      <c r="BX118" s="15" t="s">
        <v>458</v>
      </c>
      <c r="BY118" s="10"/>
      <c r="BZ118" s="10"/>
      <c r="CA118" s="10"/>
      <c r="CB118" t="b">
        <v>0</v>
      </c>
      <c r="CC118" s="9" t="s">
        <v>308</v>
      </c>
      <c r="CD118" s="9" t="s">
        <v>309</v>
      </c>
    </row>
    <row r="119" spans="1:82">
      <c r="A119" s="8">
        <v>95692</v>
      </c>
      <c r="B119" s="9" t="s">
        <v>1660</v>
      </c>
      <c r="C119" s="9" t="s">
        <v>932</v>
      </c>
      <c r="D119" s="10">
        <v>45742</v>
      </c>
      <c r="E119" s="9" t="s">
        <v>1661</v>
      </c>
      <c r="F119" s="9" t="s">
        <v>1386</v>
      </c>
      <c r="G119" s="9" t="s">
        <v>1662</v>
      </c>
      <c r="H119" s="9" t="s">
        <v>315</v>
      </c>
      <c r="I119" s="9" t="s">
        <v>282</v>
      </c>
      <c r="J119" s="9" t="s">
        <v>283</v>
      </c>
      <c r="K119" s="9" t="s">
        <v>284</v>
      </c>
      <c r="L119" s="9" t="s">
        <v>1663</v>
      </c>
      <c r="M119" s="9" t="s">
        <v>1664</v>
      </c>
      <c r="N119" s="8">
        <v>2</v>
      </c>
      <c r="O119" s="9" t="s">
        <v>1665</v>
      </c>
      <c r="P119" s="11">
        <v>485.48500000000001</v>
      </c>
      <c r="Q119" s="11">
        <v>440</v>
      </c>
      <c r="R119" s="11">
        <v>417</v>
      </c>
      <c r="S119" s="11">
        <v>1090.019</v>
      </c>
      <c r="T119" s="11">
        <v>529187.87421499996</v>
      </c>
      <c r="U119" s="12">
        <v>5.3999999999999999E-2</v>
      </c>
      <c r="V119" s="12">
        <v>0.84699999999999998</v>
      </c>
      <c r="W119" s="11">
        <v>1031.4000000000001</v>
      </c>
      <c r="X119" s="9" t="s">
        <v>288</v>
      </c>
      <c r="Y119" s="10">
        <v>44979</v>
      </c>
      <c r="Z119" s="13">
        <v>0.13120000000000001</v>
      </c>
      <c r="AA119" t="b">
        <v>1</v>
      </c>
      <c r="AB119" t="b">
        <v>0</v>
      </c>
      <c r="AC119" s="9" t="s">
        <v>289</v>
      </c>
      <c r="AD119" s="9" t="s">
        <v>290</v>
      </c>
      <c r="AE119" s="8">
        <v>2131.98</v>
      </c>
      <c r="AF119" s="14">
        <v>46.079200999999998</v>
      </c>
      <c r="AG119" s="14">
        <v>1.6935370000000001</v>
      </c>
      <c r="AH119" s="9" t="s">
        <v>483</v>
      </c>
      <c r="AI119" s="15" t="s">
        <v>1591</v>
      </c>
      <c r="AJ119" s="9" t="s">
        <v>293</v>
      </c>
      <c r="AK119" s="9" t="s">
        <v>1666</v>
      </c>
      <c r="AL119" s="9" t="s">
        <v>1667</v>
      </c>
      <c r="AM119" s="9"/>
      <c r="AN119" s="9" t="s">
        <v>1668</v>
      </c>
      <c r="AO119" s="9"/>
      <c r="AP119" s="9" t="s">
        <v>113</v>
      </c>
      <c r="AQ119" s="9" t="s">
        <v>324</v>
      </c>
      <c r="AR119" t="b">
        <v>1</v>
      </c>
      <c r="AS119" s="10">
        <v>46022</v>
      </c>
      <c r="AT119" s="10">
        <v>46022</v>
      </c>
      <c r="AU119" s="9" t="s">
        <v>470</v>
      </c>
      <c r="AV119" t="b">
        <v>0</v>
      </c>
      <c r="AW119" s="12"/>
      <c r="AX119" s="11">
        <v>3500</v>
      </c>
      <c r="AY119" s="9" t="s">
        <v>471</v>
      </c>
      <c r="AZ119" t="b">
        <v>1</v>
      </c>
      <c r="BA119" s="9"/>
      <c r="BB119" s="12"/>
      <c r="BC119" s="11">
        <v>3500</v>
      </c>
      <c r="BD119" s="9" t="s">
        <v>300</v>
      </c>
      <c r="BE119" s="9" t="s">
        <v>301</v>
      </c>
      <c r="BF119" s="9" t="s">
        <v>402</v>
      </c>
      <c r="BG119" s="9" t="s">
        <v>529</v>
      </c>
      <c r="BH119" s="9" t="s">
        <v>304</v>
      </c>
      <c r="BI119" s="9" t="s">
        <v>943</v>
      </c>
      <c r="BJ119" s="9" t="s">
        <v>944</v>
      </c>
      <c r="BK119" s="11">
        <v>856</v>
      </c>
      <c r="BL119" s="16">
        <v>243.27299500000001</v>
      </c>
      <c r="BM119" s="10">
        <v>45764</v>
      </c>
      <c r="BN119" s="10">
        <v>45792</v>
      </c>
      <c r="BO119" s="10"/>
      <c r="BP119" s="16"/>
      <c r="BQ119" s="16"/>
      <c r="BR119" s="9" t="s">
        <v>1669</v>
      </c>
      <c r="BS119" s="9" t="s">
        <v>1670</v>
      </c>
      <c r="BT119" s="9" t="s">
        <v>1671</v>
      </c>
      <c r="BU119" s="9" t="s">
        <v>1386</v>
      </c>
      <c r="BV119" s="9"/>
      <c r="BW119" s="10"/>
      <c r="BX119" s="15" t="s">
        <v>1672</v>
      </c>
      <c r="BY119" s="10"/>
      <c r="BZ119" s="10"/>
      <c r="CA119" s="10"/>
      <c r="CB119" t="b">
        <v>1</v>
      </c>
      <c r="CC119" s="9" t="s">
        <v>308</v>
      </c>
      <c r="CD119" s="9" t="s">
        <v>309</v>
      </c>
    </row>
    <row r="120" spans="1:82">
      <c r="A120" s="8">
        <v>30714</v>
      </c>
      <c r="B120" s="9" t="s">
        <v>1673</v>
      </c>
      <c r="C120" s="9" t="s">
        <v>1257</v>
      </c>
      <c r="D120" s="10">
        <v>45742</v>
      </c>
      <c r="E120" s="9" t="s">
        <v>1674</v>
      </c>
      <c r="F120" s="9" t="s">
        <v>1675</v>
      </c>
      <c r="G120" s="9" t="s">
        <v>1676</v>
      </c>
      <c r="H120" s="9" t="s">
        <v>281</v>
      </c>
      <c r="I120" s="9" t="s">
        <v>282</v>
      </c>
      <c r="J120" s="9" t="s">
        <v>283</v>
      </c>
      <c r="K120" s="9" t="s">
        <v>284</v>
      </c>
      <c r="L120" s="9" t="s">
        <v>1677</v>
      </c>
      <c r="M120" s="9" t="s">
        <v>1678</v>
      </c>
      <c r="N120" s="8">
        <v>2</v>
      </c>
      <c r="O120" s="9" t="s">
        <v>1679</v>
      </c>
      <c r="P120" s="11">
        <v>402.22</v>
      </c>
      <c r="Q120" s="11">
        <v>330</v>
      </c>
      <c r="R120" s="11">
        <v>307.2</v>
      </c>
      <c r="S120" s="11">
        <v>1138</v>
      </c>
      <c r="T120" s="11">
        <v>457726.36</v>
      </c>
      <c r="U120" s="12">
        <v>5.3999999999999999E-2</v>
      </c>
      <c r="V120" s="12">
        <v>0.86199999999999999</v>
      </c>
      <c r="W120" s="11">
        <v>1127.5</v>
      </c>
      <c r="X120" s="9" t="s">
        <v>288</v>
      </c>
      <c r="Y120" s="10">
        <v>44978</v>
      </c>
      <c r="Z120" s="13">
        <v>0.1313</v>
      </c>
      <c r="AB120" t="b">
        <v>0</v>
      </c>
      <c r="AC120" s="9" t="s">
        <v>289</v>
      </c>
      <c r="AD120" s="9" t="s">
        <v>290</v>
      </c>
      <c r="AE120" s="8">
        <v>1766.328</v>
      </c>
      <c r="AF120" s="14">
        <v>45.573630000000001</v>
      </c>
      <c r="AG120" s="14">
        <v>4.6011499999999996</v>
      </c>
      <c r="AH120" s="9" t="s">
        <v>483</v>
      </c>
      <c r="AI120" s="15" t="s">
        <v>396</v>
      </c>
      <c r="AJ120" s="9" t="s">
        <v>293</v>
      </c>
      <c r="AK120" s="9" t="s">
        <v>1680</v>
      </c>
      <c r="AL120" s="9" t="s">
        <v>1681</v>
      </c>
      <c r="AM120" s="9"/>
      <c r="AN120" s="9" t="s">
        <v>1682</v>
      </c>
      <c r="AO120" s="9"/>
      <c r="AP120" s="9" t="s">
        <v>108</v>
      </c>
      <c r="AQ120" s="9" t="s">
        <v>298</v>
      </c>
      <c r="AR120" t="b">
        <v>0</v>
      </c>
      <c r="AS120" s="10"/>
      <c r="AT120" s="10" t="s">
        <v>299</v>
      </c>
      <c r="AU120" s="9"/>
      <c r="AV120" t="b">
        <v>0</v>
      </c>
      <c r="AW120" s="12"/>
      <c r="AX120" s="11"/>
      <c r="AY120" s="9"/>
      <c r="AZ120" t="b">
        <v>0</v>
      </c>
      <c r="BA120" s="9"/>
      <c r="BB120" s="12"/>
      <c r="BC120" s="11"/>
      <c r="BD120" s="9" t="s">
        <v>300</v>
      </c>
      <c r="BE120" s="9" t="s">
        <v>47</v>
      </c>
      <c r="BF120" s="9" t="s">
        <v>1111</v>
      </c>
      <c r="BG120" s="9" t="s">
        <v>303</v>
      </c>
      <c r="BH120" s="9" t="s">
        <v>304</v>
      </c>
      <c r="BI120" s="9" t="s">
        <v>1267</v>
      </c>
      <c r="BJ120" s="9" t="s">
        <v>1268</v>
      </c>
      <c r="BK120" s="11">
        <v>856</v>
      </c>
      <c r="BL120" s="16">
        <v>212.71474000000001</v>
      </c>
      <c r="BM120" s="10">
        <v>45758</v>
      </c>
      <c r="BN120" s="10">
        <v>45792</v>
      </c>
      <c r="BO120" s="10"/>
      <c r="BP120" s="16"/>
      <c r="BQ120" s="16"/>
      <c r="BR120" s="9"/>
      <c r="BS120" s="9"/>
      <c r="BT120" s="9"/>
      <c r="BU120" s="9"/>
      <c r="BV120" s="9"/>
      <c r="BW120" s="10"/>
      <c r="BX120" s="15" t="s">
        <v>884</v>
      </c>
      <c r="BY120" s="10"/>
      <c r="BZ120" s="10"/>
      <c r="CA120" s="10"/>
      <c r="CB120" t="b">
        <v>0</v>
      </c>
      <c r="CC120" s="9" t="s">
        <v>308</v>
      </c>
      <c r="CD120" s="9" t="s">
        <v>309</v>
      </c>
    </row>
    <row r="121" spans="1:82">
      <c r="A121" s="8">
        <v>32243</v>
      </c>
      <c r="B121" s="9" t="s">
        <v>420</v>
      </c>
      <c r="C121" s="9" t="s">
        <v>1204</v>
      </c>
      <c r="D121" s="10">
        <v>45742</v>
      </c>
      <c r="E121" s="9" t="s">
        <v>1683</v>
      </c>
      <c r="F121" s="9" t="s">
        <v>630</v>
      </c>
      <c r="G121" s="9" t="s">
        <v>1684</v>
      </c>
      <c r="H121" s="9" t="s">
        <v>281</v>
      </c>
      <c r="I121" s="9" t="s">
        <v>282</v>
      </c>
      <c r="J121" s="9" t="s">
        <v>283</v>
      </c>
      <c r="K121" s="9" t="s">
        <v>284</v>
      </c>
      <c r="L121" s="9" t="s">
        <v>1685</v>
      </c>
      <c r="M121" s="9" t="s">
        <v>1686</v>
      </c>
      <c r="N121" s="8">
        <v>1</v>
      </c>
      <c r="O121" s="9" t="s">
        <v>1687</v>
      </c>
      <c r="P121" s="11">
        <v>331.24</v>
      </c>
      <c r="Q121" s="11">
        <v>250</v>
      </c>
      <c r="R121" s="11">
        <v>250</v>
      </c>
      <c r="S121" s="11">
        <v>1021</v>
      </c>
      <c r="T121" s="11">
        <v>338196.04</v>
      </c>
      <c r="U121" s="12">
        <v>5.3999999999999999E-2</v>
      </c>
      <c r="V121" s="12">
        <v>0.86199999999999999</v>
      </c>
      <c r="W121" s="11">
        <v>994.7</v>
      </c>
      <c r="X121" s="9" t="s">
        <v>288</v>
      </c>
      <c r="Y121" s="10">
        <v>45099</v>
      </c>
      <c r="Z121" s="13">
        <v>0.13120000000000001</v>
      </c>
      <c r="AB121" t="b">
        <v>0</v>
      </c>
      <c r="AC121" s="9" t="s">
        <v>289</v>
      </c>
      <c r="AD121" s="9" t="s">
        <v>290</v>
      </c>
      <c r="AE121" s="8">
        <v>1454.623</v>
      </c>
      <c r="AF121" s="14">
        <v>48.058109999999999</v>
      </c>
      <c r="AG121" s="14">
        <v>0.34350000000000003</v>
      </c>
      <c r="AH121" s="9" t="s">
        <v>483</v>
      </c>
      <c r="AI121" s="15" t="s">
        <v>396</v>
      </c>
      <c r="AJ121" s="9" t="s">
        <v>293</v>
      </c>
      <c r="AK121" s="9" t="s">
        <v>1688</v>
      </c>
      <c r="AL121" s="9" t="s">
        <v>1689</v>
      </c>
      <c r="AM121" s="9"/>
      <c r="AN121" s="9" t="s">
        <v>1690</v>
      </c>
      <c r="AO121" s="9"/>
      <c r="AP121" s="9" t="s">
        <v>144</v>
      </c>
      <c r="AQ121" s="9" t="s">
        <v>298</v>
      </c>
      <c r="AR121" t="b">
        <v>0</v>
      </c>
      <c r="AS121" s="10"/>
      <c r="AT121" s="10" t="s">
        <v>299</v>
      </c>
      <c r="AU121" s="9"/>
      <c r="AV121" t="b">
        <v>0</v>
      </c>
      <c r="AW121" s="12"/>
      <c r="AX121" s="11"/>
      <c r="AY121" s="9"/>
      <c r="AZ121" t="b">
        <v>0</v>
      </c>
      <c r="BA121" s="9"/>
      <c r="BB121" s="12"/>
      <c r="BC121" s="11"/>
      <c r="BD121" s="9" t="s">
        <v>300</v>
      </c>
      <c r="BE121" s="9" t="s">
        <v>86</v>
      </c>
      <c r="BF121" s="9" t="s">
        <v>402</v>
      </c>
      <c r="BG121" s="9" t="s">
        <v>529</v>
      </c>
      <c r="BH121" s="9" t="s">
        <v>304</v>
      </c>
      <c r="BI121" s="9" t="s">
        <v>1213</v>
      </c>
      <c r="BJ121" s="9" t="s">
        <v>1214</v>
      </c>
      <c r="BK121" s="11">
        <v>856</v>
      </c>
      <c r="BL121" s="16">
        <v>186.66507999999999</v>
      </c>
      <c r="BM121" s="10">
        <v>45758</v>
      </c>
      <c r="BN121" s="10">
        <v>45792</v>
      </c>
      <c r="BO121" s="10"/>
      <c r="BP121" s="16"/>
      <c r="BQ121" s="16"/>
      <c r="BR121" s="9"/>
      <c r="BS121" s="9"/>
      <c r="BT121" s="9"/>
      <c r="BU121" s="9"/>
      <c r="BV121" s="9"/>
      <c r="BW121" s="10"/>
      <c r="BX121" s="15" t="s">
        <v>1691</v>
      </c>
      <c r="BY121" s="10"/>
      <c r="BZ121" s="10"/>
      <c r="CA121" s="10"/>
      <c r="CB121" t="b">
        <v>0</v>
      </c>
      <c r="CC121" s="9" t="s">
        <v>308</v>
      </c>
      <c r="CD121" s="9" t="s">
        <v>309</v>
      </c>
    </row>
    <row r="122" spans="1:82">
      <c r="A122" s="8">
        <v>96546</v>
      </c>
      <c r="B122" s="9" t="s">
        <v>1692</v>
      </c>
      <c r="C122" s="9" t="s">
        <v>628</v>
      </c>
      <c r="D122" s="10">
        <v>45741</v>
      </c>
      <c r="E122" s="9" t="s">
        <v>1693</v>
      </c>
      <c r="F122" s="9" t="s">
        <v>1694</v>
      </c>
      <c r="G122" s="9" t="s">
        <v>1695</v>
      </c>
      <c r="H122" s="9" t="s">
        <v>315</v>
      </c>
      <c r="I122" s="9" t="s">
        <v>282</v>
      </c>
      <c r="J122" s="9" t="s">
        <v>283</v>
      </c>
      <c r="K122" s="9" t="s">
        <v>1696</v>
      </c>
      <c r="L122" s="9" t="s">
        <v>1697</v>
      </c>
      <c r="M122" s="9" t="s">
        <v>1698</v>
      </c>
      <c r="N122" s="8">
        <v>2</v>
      </c>
      <c r="O122" s="9" t="s">
        <v>1699</v>
      </c>
      <c r="P122" s="11">
        <v>499.59</v>
      </c>
      <c r="Q122" s="11">
        <v>415</v>
      </c>
      <c r="R122" s="11">
        <v>399.99</v>
      </c>
      <c r="S122" s="11">
        <v>1132.008</v>
      </c>
      <c r="T122" s="11">
        <v>565539.87671999994</v>
      </c>
      <c r="U122" s="12">
        <v>5.3999999999999999E-2</v>
      </c>
      <c r="V122" s="12">
        <v>0.86970000000000003</v>
      </c>
      <c r="W122" s="11">
        <v>1134.19</v>
      </c>
      <c r="X122" s="9" t="s">
        <v>288</v>
      </c>
      <c r="Y122" s="10">
        <v>45013</v>
      </c>
      <c r="Z122" s="13">
        <v>0.13120000000000001</v>
      </c>
      <c r="AB122" t="b">
        <v>0</v>
      </c>
      <c r="AC122" s="9" t="s">
        <v>289</v>
      </c>
      <c r="AD122" s="9" t="s">
        <v>290</v>
      </c>
      <c r="AE122" s="8">
        <v>2193.922</v>
      </c>
      <c r="AF122" s="14">
        <v>45.452821</v>
      </c>
      <c r="AG122" s="14">
        <v>1.2834000000000001</v>
      </c>
      <c r="AH122" s="9" t="s">
        <v>524</v>
      </c>
      <c r="AI122" s="15" t="s">
        <v>1700</v>
      </c>
      <c r="AJ122" s="9" t="s">
        <v>293</v>
      </c>
      <c r="AK122" s="9" t="s">
        <v>1701</v>
      </c>
      <c r="AL122" s="9" t="s">
        <v>1702</v>
      </c>
      <c r="AM122" s="9"/>
      <c r="AN122" s="9" t="s">
        <v>1703</v>
      </c>
      <c r="AO122" s="9"/>
      <c r="AP122" s="9" t="s">
        <v>123</v>
      </c>
      <c r="AQ122" s="9" t="s">
        <v>123</v>
      </c>
      <c r="AR122" t="b">
        <v>0</v>
      </c>
      <c r="AS122" s="10"/>
      <c r="AT122" s="10" t="s">
        <v>299</v>
      </c>
      <c r="AU122" s="9"/>
      <c r="AV122" t="b">
        <v>0</v>
      </c>
      <c r="AW122" s="12"/>
      <c r="AX122" s="11"/>
      <c r="AY122" s="9"/>
      <c r="AZ122" t="b">
        <v>0</v>
      </c>
      <c r="BA122" s="9"/>
      <c r="BB122" s="12"/>
      <c r="BC122" s="11"/>
      <c r="BD122" s="9" t="s">
        <v>325</v>
      </c>
      <c r="BE122" s="9" t="s">
        <v>47</v>
      </c>
      <c r="BF122" s="9" t="s">
        <v>702</v>
      </c>
      <c r="BG122" s="9" t="s">
        <v>327</v>
      </c>
      <c r="BH122" s="9" t="s">
        <v>304</v>
      </c>
      <c r="BI122" s="9" t="s">
        <v>638</v>
      </c>
      <c r="BJ122" s="9" t="s">
        <v>639</v>
      </c>
      <c r="BK122" s="11">
        <v>856</v>
      </c>
      <c r="BL122" s="16">
        <v>254.74952999999999</v>
      </c>
      <c r="BM122" s="10"/>
      <c r="BN122" s="10"/>
      <c r="BO122" s="10"/>
      <c r="BP122" s="16"/>
      <c r="BQ122" s="16"/>
      <c r="BR122" s="9"/>
      <c r="BS122" s="9"/>
      <c r="BT122" s="9"/>
      <c r="BU122" s="9"/>
      <c r="BV122" s="9"/>
      <c r="BW122" s="10"/>
      <c r="BX122" s="15" t="s">
        <v>473</v>
      </c>
      <c r="BY122" s="10"/>
      <c r="BZ122" s="10"/>
      <c r="CA122" s="10"/>
      <c r="CB122" t="b">
        <v>0</v>
      </c>
      <c r="CC122" s="9" t="s">
        <v>308</v>
      </c>
      <c r="CD122" s="9" t="s">
        <v>309</v>
      </c>
    </row>
    <row r="123" spans="1:82">
      <c r="A123" s="8">
        <v>96570</v>
      </c>
      <c r="B123" s="9" t="s">
        <v>1704</v>
      </c>
      <c r="C123" s="9" t="s">
        <v>277</v>
      </c>
      <c r="D123" s="10">
        <v>45741</v>
      </c>
      <c r="E123" s="9" t="s">
        <v>1705</v>
      </c>
      <c r="F123" s="9" t="s">
        <v>1706</v>
      </c>
      <c r="G123" s="9" t="s">
        <v>1707</v>
      </c>
      <c r="H123" s="9" t="s">
        <v>281</v>
      </c>
      <c r="I123" s="9" t="s">
        <v>282</v>
      </c>
      <c r="J123" s="9" t="s">
        <v>283</v>
      </c>
      <c r="K123" s="9" t="s">
        <v>284</v>
      </c>
      <c r="L123" s="9" t="s">
        <v>1708</v>
      </c>
      <c r="M123" s="9" t="s">
        <v>1709</v>
      </c>
      <c r="N123" s="8">
        <v>1</v>
      </c>
      <c r="O123" s="9" t="s">
        <v>1710</v>
      </c>
      <c r="P123" s="11">
        <v>232.96</v>
      </c>
      <c r="Q123" s="11">
        <v>220</v>
      </c>
      <c r="R123" s="11">
        <v>188</v>
      </c>
      <c r="S123" s="11">
        <v>1235</v>
      </c>
      <c r="T123" s="11">
        <v>287705.59999999998</v>
      </c>
      <c r="U123" s="12">
        <v>5.3999999999999999E-2</v>
      </c>
      <c r="V123" s="12">
        <v>0.87749999999999995</v>
      </c>
      <c r="W123" s="11">
        <v>1207.47</v>
      </c>
      <c r="X123" s="9" t="s">
        <v>288</v>
      </c>
      <c r="Y123" s="10">
        <v>45043</v>
      </c>
      <c r="Z123" s="13">
        <v>0.13120000000000001</v>
      </c>
      <c r="AB123" t="b">
        <v>0</v>
      </c>
      <c r="AC123" s="9" t="s">
        <v>289</v>
      </c>
      <c r="AD123" s="9" t="s">
        <v>290</v>
      </c>
      <c r="AE123" s="8">
        <v>1023.0309999999999</v>
      </c>
      <c r="AF123" s="14">
        <v>47.517760000000003</v>
      </c>
      <c r="AG123" s="14">
        <v>-0.82576000000000005</v>
      </c>
      <c r="AH123" s="9" t="s">
        <v>291</v>
      </c>
      <c r="AI123" s="15" t="s">
        <v>396</v>
      </c>
      <c r="AJ123" s="9" t="s">
        <v>293</v>
      </c>
      <c r="AK123" s="9" t="s">
        <v>1711</v>
      </c>
      <c r="AL123" s="9" t="s">
        <v>1712</v>
      </c>
      <c r="AM123" s="9"/>
      <c r="AN123" s="9" t="s">
        <v>1713</v>
      </c>
      <c r="AO123" s="9"/>
      <c r="AP123" s="9" t="s">
        <v>1714</v>
      </c>
      <c r="AQ123" s="9" t="s">
        <v>355</v>
      </c>
      <c r="AR123" t="b">
        <v>0</v>
      </c>
      <c r="AS123" s="10"/>
      <c r="AT123" s="10" t="s">
        <v>299</v>
      </c>
      <c r="AU123" s="9"/>
      <c r="AV123" t="b">
        <v>0</v>
      </c>
      <c r="AW123" s="12"/>
      <c r="AX123" s="11"/>
      <c r="AY123" s="9"/>
      <c r="AZ123" t="b">
        <v>0</v>
      </c>
      <c r="BA123" s="9"/>
      <c r="BB123" s="12"/>
      <c r="BC123" s="11"/>
      <c r="BD123" s="9" t="s">
        <v>300</v>
      </c>
      <c r="BE123" s="9" t="s">
        <v>301</v>
      </c>
      <c r="BF123" s="9" t="s">
        <v>402</v>
      </c>
      <c r="BG123" s="9" t="s">
        <v>529</v>
      </c>
      <c r="BH123" s="9" t="s">
        <v>304</v>
      </c>
      <c r="BI123" s="9" t="s">
        <v>305</v>
      </c>
      <c r="BJ123" s="9" t="s">
        <v>306</v>
      </c>
      <c r="BK123" s="11">
        <v>856</v>
      </c>
      <c r="BL123" s="16">
        <v>156.89632</v>
      </c>
      <c r="BM123" s="10">
        <v>45876</v>
      </c>
      <c r="BN123" s="10"/>
      <c r="BO123" s="10"/>
      <c r="BP123" s="16"/>
      <c r="BQ123" s="16"/>
      <c r="BR123" s="9"/>
      <c r="BS123" s="9"/>
      <c r="BT123" s="9"/>
      <c r="BU123" s="9"/>
      <c r="BV123" s="9"/>
      <c r="BW123" s="10"/>
      <c r="BX123" s="15" t="s">
        <v>848</v>
      </c>
      <c r="BY123" s="10"/>
      <c r="BZ123" s="10"/>
      <c r="CA123" s="10"/>
      <c r="CB123" t="b">
        <v>0</v>
      </c>
      <c r="CC123" s="9" t="s">
        <v>308</v>
      </c>
      <c r="CD123" s="9" t="s">
        <v>309</v>
      </c>
    </row>
    <row r="124" spans="1:82">
      <c r="A124" s="8">
        <v>58961</v>
      </c>
      <c r="B124" s="9" t="s">
        <v>1715</v>
      </c>
      <c r="C124" s="9" t="s">
        <v>970</v>
      </c>
      <c r="D124" s="10">
        <v>45740</v>
      </c>
      <c r="E124" s="9" t="s">
        <v>1716</v>
      </c>
      <c r="F124" s="9" t="s">
        <v>1717</v>
      </c>
      <c r="G124" s="9" t="s">
        <v>1718</v>
      </c>
      <c r="H124" s="9" t="s">
        <v>281</v>
      </c>
      <c r="I124" s="9" t="s">
        <v>282</v>
      </c>
      <c r="J124" s="9" t="s">
        <v>283</v>
      </c>
      <c r="K124" s="9" t="s">
        <v>284</v>
      </c>
      <c r="L124" s="9" t="s">
        <v>1719</v>
      </c>
      <c r="M124" s="9" t="s">
        <v>1719</v>
      </c>
      <c r="N124" s="8">
        <v>1</v>
      </c>
      <c r="O124" s="9" t="s">
        <v>1720</v>
      </c>
      <c r="P124" s="11">
        <v>263.89999999999998</v>
      </c>
      <c r="Q124" s="11">
        <v>220</v>
      </c>
      <c r="R124" s="11">
        <v>200</v>
      </c>
      <c r="S124" s="11">
        <v>1178</v>
      </c>
      <c r="T124" s="11">
        <v>310874.2</v>
      </c>
      <c r="U124" s="12">
        <v>5.3999999999999999E-2</v>
      </c>
      <c r="V124" s="12">
        <v>0.84199999999999997</v>
      </c>
      <c r="W124" s="11">
        <v>1167.4000000000001</v>
      </c>
      <c r="X124" s="9" t="s">
        <v>288</v>
      </c>
      <c r="Y124" s="10">
        <v>44991</v>
      </c>
      <c r="Z124" s="13">
        <v>0.13120000000000001</v>
      </c>
      <c r="AB124" t="b">
        <v>0</v>
      </c>
      <c r="AC124" s="9" t="s">
        <v>1721</v>
      </c>
      <c r="AD124" s="9" t="s">
        <v>1721</v>
      </c>
      <c r="AE124" s="8">
        <v>1158.903</v>
      </c>
      <c r="AF124" s="14">
        <v>44.060339999999997</v>
      </c>
      <c r="AG124" s="14">
        <v>2.3508599999999999</v>
      </c>
      <c r="AH124" s="9" t="s">
        <v>483</v>
      </c>
      <c r="AI124" s="15" t="s">
        <v>319</v>
      </c>
      <c r="AJ124" s="9" t="s">
        <v>293</v>
      </c>
      <c r="AK124" s="9" t="s">
        <v>1722</v>
      </c>
      <c r="AL124" s="9" t="s">
        <v>1723</v>
      </c>
      <c r="AM124" s="9"/>
      <c r="AN124" s="9" t="s">
        <v>1724</v>
      </c>
      <c r="AO124" s="9"/>
      <c r="AP124" s="9" t="s">
        <v>139</v>
      </c>
      <c r="AQ124" s="9" t="s">
        <v>1725</v>
      </c>
      <c r="AR124" t="b">
        <v>0</v>
      </c>
      <c r="AS124" s="10"/>
      <c r="AT124" s="10" t="s">
        <v>299</v>
      </c>
      <c r="AU124" s="9"/>
      <c r="AV124" t="b">
        <v>0</v>
      </c>
      <c r="AW124" s="12"/>
      <c r="AX124" s="11"/>
      <c r="AY124" s="9"/>
      <c r="AZ124" t="b">
        <v>0</v>
      </c>
      <c r="BA124" s="9"/>
      <c r="BB124" s="12"/>
      <c r="BC124" s="11"/>
      <c r="BD124" s="9" t="s">
        <v>325</v>
      </c>
      <c r="BE124" s="9" t="s">
        <v>301</v>
      </c>
      <c r="BF124" s="9" t="s">
        <v>702</v>
      </c>
      <c r="BG124" s="9" t="s">
        <v>416</v>
      </c>
      <c r="BH124" s="9" t="s">
        <v>304</v>
      </c>
      <c r="BI124" s="9" t="s">
        <v>981</v>
      </c>
      <c r="BJ124" s="9" t="s">
        <v>982</v>
      </c>
      <c r="BK124" s="11">
        <v>856</v>
      </c>
      <c r="BL124" s="16">
        <v>161.9513</v>
      </c>
      <c r="BM124" s="10">
        <v>45756</v>
      </c>
      <c r="BN124" s="10">
        <v>45792</v>
      </c>
      <c r="BO124" s="10"/>
      <c r="BP124" s="16"/>
      <c r="BQ124" s="16"/>
      <c r="BR124" s="9"/>
      <c r="BS124" s="9"/>
      <c r="BT124" s="9"/>
      <c r="BU124" s="9"/>
      <c r="BV124" s="9"/>
      <c r="BW124" s="10"/>
      <c r="BX124" s="15" t="s">
        <v>1726</v>
      </c>
      <c r="BY124" s="10"/>
      <c r="BZ124" s="10"/>
      <c r="CA124" s="10"/>
      <c r="CB124" t="b">
        <v>0</v>
      </c>
      <c r="CC124" s="9" t="s">
        <v>308</v>
      </c>
      <c r="CD124" s="9" t="s">
        <v>309</v>
      </c>
    </row>
    <row r="125" spans="1:82" ht="29.1">
      <c r="A125" s="8">
        <v>14828</v>
      </c>
      <c r="B125" s="9" t="s">
        <v>1727</v>
      </c>
      <c r="C125" s="9" t="s">
        <v>628</v>
      </c>
      <c r="D125" s="10">
        <v>45740</v>
      </c>
      <c r="E125" s="9" t="s">
        <v>1728</v>
      </c>
      <c r="F125" s="9" t="s">
        <v>1729</v>
      </c>
      <c r="G125" s="9" t="s">
        <v>1730</v>
      </c>
      <c r="H125" s="9" t="s">
        <v>281</v>
      </c>
      <c r="I125" s="9" t="s">
        <v>282</v>
      </c>
      <c r="J125" s="9" t="s">
        <v>547</v>
      </c>
      <c r="K125" s="9" t="s">
        <v>284</v>
      </c>
      <c r="L125" s="9" t="s">
        <v>1731</v>
      </c>
      <c r="M125" s="9" t="s">
        <v>1732</v>
      </c>
      <c r="N125" s="8">
        <v>1</v>
      </c>
      <c r="O125" s="9" t="s">
        <v>1733</v>
      </c>
      <c r="P125" s="11">
        <v>309.39999999999998</v>
      </c>
      <c r="Q125" s="11">
        <v>250</v>
      </c>
      <c r="R125" s="11">
        <v>249.9</v>
      </c>
      <c r="S125" s="11">
        <v>1135</v>
      </c>
      <c r="T125" s="11">
        <v>351169</v>
      </c>
      <c r="U125" s="12">
        <v>5.3999999999999999E-2</v>
      </c>
      <c r="V125" s="12">
        <v>0.87460000000000004</v>
      </c>
      <c r="W125" s="11">
        <v>1124.75</v>
      </c>
      <c r="X125" s="9" t="s">
        <v>288</v>
      </c>
      <c r="Y125" s="10">
        <v>45120</v>
      </c>
      <c r="Z125" s="13">
        <v>0.12740000000000001</v>
      </c>
      <c r="AB125" t="b">
        <v>0</v>
      </c>
      <c r="AC125" s="9" t="s">
        <v>289</v>
      </c>
      <c r="AD125" s="9" t="s">
        <v>290</v>
      </c>
      <c r="AE125" s="8">
        <v>1358.713</v>
      </c>
      <c r="AF125" s="14">
        <v>45.986280000000001</v>
      </c>
      <c r="AG125" s="14">
        <v>3.1017000000000001</v>
      </c>
      <c r="AH125" s="9" t="s">
        <v>524</v>
      </c>
      <c r="AI125" s="15" t="s">
        <v>396</v>
      </c>
      <c r="AJ125" s="9" t="s">
        <v>293</v>
      </c>
      <c r="AK125" s="9" t="s">
        <v>1734</v>
      </c>
      <c r="AL125" s="9" t="s">
        <v>1735</v>
      </c>
      <c r="AM125" s="9"/>
      <c r="AN125" s="9" t="s">
        <v>1736</v>
      </c>
      <c r="AO125" s="9"/>
      <c r="AP125" s="9" t="s">
        <v>323</v>
      </c>
      <c r="AQ125" s="9" t="s">
        <v>355</v>
      </c>
      <c r="AR125" t="b">
        <v>0</v>
      </c>
      <c r="AS125" s="10"/>
      <c r="AT125" s="10" t="s">
        <v>299</v>
      </c>
      <c r="AU125" s="9"/>
      <c r="AV125" t="b">
        <v>0</v>
      </c>
      <c r="AW125" s="12"/>
      <c r="AX125" s="11"/>
      <c r="AY125" s="9"/>
      <c r="AZ125" t="b">
        <v>0</v>
      </c>
      <c r="BA125" s="9"/>
      <c r="BB125" s="12"/>
      <c r="BC125" s="11"/>
      <c r="BD125" s="9" t="s">
        <v>300</v>
      </c>
      <c r="BE125" s="9" t="s">
        <v>47</v>
      </c>
      <c r="BF125" s="9" t="s">
        <v>702</v>
      </c>
      <c r="BG125" s="9" t="s">
        <v>327</v>
      </c>
      <c r="BH125" s="9" t="s">
        <v>304</v>
      </c>
      <c r="BI125" s="9" t="s">
        <v>638</v>
      </c>
      <c r="BJ125" s="9" t="s">
        <v>639</v>
      </c>
      <c r="BK125" s="11">
        <v>856</v>
      </c>
      <c r="BL125" s="16">
        <v>184.94980000000001</v>
      </c>
      <c r="BM125" s="10"/>
      <c r="BN125" s="10"/>
      <c r="BO125" s="10"/>
      <c r="BP125" s="16"/>
      <c r="BQ125" s="16"/>
      <c r="BR125" s="9"/>
      <c r="BS125" s="9"/>
      <c r="BT125" s="9"/>
      <c r="BU125" s="9"/>
      <c r="BV125" s="9"/>
      <c r="BW125" s="10"/>
      <c r="BX125" s="15" t="s">
        <v>1737</v>
      </c>
      <c r="BY125" s="10"/>
      <c r="BZ125" s="10"/>
      <c r="CA125" s="10"/>
      <c r="CB125" t="b">
        <v>0</v>
      </c>
      <c r="CC125" s="9" t="s">
        <v>308</v>
      </c>
      <c r="CD125" s="9" t="s">
        <v>309</v>
      </c>
    </row>
    <row r="126" spans="1:82">
      <c r="A126" s="8">
        <v>63270</v>
      </c>
      <c r="B126" s="9" t="s">
        <v>1738</v>
      </c>
      <c r="C126" s="9" t="s">
        <v>277</v>
      </c>
      <c r="D126" s="10">
        <v>45736</v>
      </c>
      <c r="E126" s="9" t="s">
        <v>1739</v>
      </c>
      <c r="F126" s="9" t="s">
        <v>1740</v>
      </c>
      <c r="G126" s="9" t="s">
        <v>1741</v>
      </c>
      <c r="H126" s="9" t="s">
        <v>281</v>
      </c>
      <c r="I126" s="9" t="s">
        <v>282</v>
      </c>
      <c r="J126" s="9" t="s">
        <v>283</v>
      </c>
      <c r="K126" s="9" t="s">
        <v>284</v>
      </c>
      <c r="L126" s="9" t="s">
        <v>1742</v>
      </c>
      <c r="M126" s="9" t="s">
        <v>1743</v>
      </c>
      <c r="N126" s="8">
        <v>2</v>
      </c>
      <c r="O126" s="9" t="s">
        <v>1744</v>
      </c>
      <c r="P126" s="11">
        <v>496.86</v>
      </c>
      <c r="Q126" s="11">
        <v>440</v>
      </c>
      <c r="R126" s="11">
        <v>410</v>
      </c>
      <c r="S126" s="11">
        <v>1186</v>
      </c>
      <c r="T126" s="11">
        <v>589275.96</v>
      </c>
      <c r="U126" s="12">
        <v>5.3999999999999999E-2</v>
      </c>
      <c r="V126" s="12">
        <v>0.87919999999999998</v>
      </c>
      <c r="W126" s="11">
        <v>1165.1600000000001</v>
      </c>
      <c r="X126" s="9" t="s">
        <v>288</v>
      </c>
      <c r="Y126" s="10">
        <v>45195</v>
      </c>
      <c r="Z126" s="13">
        <v>0.13120000000000001</v>
      </c>
      <c r="AB126" t="b">
        <v>0</v>
      </c>
      <c r="AC126" s="9" t="s">
        <v>289</v>
      </c>
      <c r="AD126" s="9" t="s">
        <v>290</v>
      </c>
      <c r="AE126" s="8">
        <v>2181.9340000000002</v>
      </c>
      <c r="AF126" s="14">
        <v>47.324739999999998</v>
      </c>
      <c r="AG126" s="14">
        <v>0.55913000000000002</v>
      </c>
      <c r="AH126" s="9" t="s">
        <v>291</v>
      </c>
      <c r="AI126" s="15" t="s">
        <v>396</v>
      </c>
      <c r="AJ126" s="9" t="s">
        <v>293</v>
      </c>
      <c r="AK126" s="9" t="s">
        <v>1745</v>
      </c>
      <c r="AL126" s="9" t="s">
        <v>1746</v>
      </c>
      <c r="AM126" s="9"/>
      <c r="AN126" s="9" t="s">
        <v>1747</v>
      </c>
      <c r="AO126" s="9"/>
      <c r="AP126" s="9" t="s">
        <v>113</v>
      </c>
      <c r="AQ126" s="9" t="s">
        <v>372</v>
      </c>
      <c r="AR126" t="b">
        <v>0</v>
      </c>
      <c r="AS126" s="10"/>
      <c r="AT126" s="10" t="s">
        <v>299</v>
      </c>
      <c r="AU126" s="9"/>
      <c r="AV126" t="b">
        <v>0</v>
      </c>
      <c r="AW126" s="12"/>
      <c r="AX126" s="11"/>
      <c r="AY126" s="9"/>
      <c r="AZ126" t="b">
        <v>0</v>
      </c>
      <c r="BA126" s="9"/>
      <c r="BB126" s="12"/>
      <c r="BC126" s="11"/>
      <c r="BD126" s="9" t="s">
        <v>300</v>
      </c>
      <c r="BE126" s="9" t="s">
        <v>301</v>
      </c>
      <c r="BF126" s="9" t="s">
        <v>402</v>
      </c>
      <c r="BG126" s="9" t="s">
        <v>529</v>
      </c>
      <c r="BH126" s="9" t="s">
        <v>304</v>
      </c>
      <c r="BI126" s="9" t="s">
        <v>305</v>
      </c>
      <c r="BJ126" s="9" t="s">
        <v>306</v>
      </c>
      <c r="BK126" s="11">
        <v>856</v>
      </c>
      <c r="BL126" s="16">
        <v>253.74762000000001</v>
      </c>
      <c r="BM126" s="10">
        <v>45752</v>
      </c>
      <c r="BN126" s="10"/>
      <c r="BO126" s="10"/>
      <c r="BP126" s="16"/>
      <c r="BQ126" s="16"/>
      <c r="BR126" s="9"/>
      <c r="BS126" s="9"/>
      <c r="BT126" s="9"/>
      <c r="BU126" s="9"/>
      <c r="BV126" s="9"/>
      <c r="BW126" s="10"/>
      <c r="BX126" s="15" t="s">
        <v>1217</v>
      </c>
      <c r="BY126" s="10"/>
      <c r="BZ126" s="10"/>
      <c r="CA126" s="10"/>
      <c r="CB126" t="b">
        <v>0</v>
      </c>
      <c r="CC126" s="9" t="s">
        <v>308</v>
      </c>
      <c r="CD126" s="9" t="s">
        <v>309</v>
      </c>
    </row>
    <row r="127" spans="1:82">
      <c r="A127" s="8">
        <v>83431</v>
      </c>
      <c r="B127" s="9" t="s">
        <v>1748</v>
      </c>
      <c r="C127" s="9" t="s">
        <v>628</v>
      </c>
      <c r="D127" s="10">
        <v>45736</v>
      </c>
      <c r="E127" s="9" t="s">
        <v>1749</v>
      </c>
      <c r="F127" s="9" t="s">
        <v>1750</v>
      </c>
      <c r="G127" s="9" t="s">
        <v>1751</v>
      </c>
      <c r="H127" s="9" t="s">
        <v>281</v>
      </c>
      <c r="I127" s="9" t="s">
        <v>282</v>
      </c>
      <c r="J127" s="9" t="s">
        <v>283</v>
      </c>
      <c r="K127" s="9" t="s">
        <v>284</v>
      </c>
      <c r="L127" s="9" t="s">
        <v>1752</v>
      </c>
      <c r="M127" s="9" t="s">
        <v>1753</v>
      </c>
      <c r="N127" s="8">
        <v>1</v>
      </c>
      <c r="O127" s="9" t="s">
        <v>1753</v>
      </c>
      <c r="P127" s="11">
        <v>324.87</v>
      </c>
      <c r="Q127" s="11">
        <v>250</v>
      </c>
      <c r="R127" s="11">
        <v>249.9</v>
      </c>
      <c r="S127" s="11">
        <v>1211</v>
      </c>
      <c r="T127" s="11">
        <v>393417.57</v>
      </c>
      <c r="U127" s="12">
        <v>5.3999999999999999E-2</v>
      </c>
      <c r="V127" s="12">
        <v>0.85529999999999995</v>
      </c>
      <c r="W127" s="11">
        <v>1191.3800000000001</v>
      </c>
      <c r="X127" s="9" t="s">
        <v>288</v>
      </c>
      <c r="Y127" s="10">
        <v>45056</v>
      </c>
      <c r="Z127" s="13">
        <v>0.12740000000000001</v>
      </c>
      <c r="AB127" t="b">
        <v>0</v>
      </c>
      <c r="AC127" s="9" t="s">
        <v>1754</v>
      </c>
      <c r="AD127" s="9" t="s">
        <v>1755</v>
      </c>
      <c r="AE127" s="8">
        <v>1426.6489999999999</v>
      </c>
      <c r="AF127" s="14">
        <v>46.414110000000001</v>
      </c>
      <c r="AG127" s="14">
        <v>-0.53832000000000002</v>
      </c>
      <c r="AH127" s="9" t="s">
        <v>524</v>
      </c>
      <c r="AI127" s="15" t="s">
        <v>396</v>
      </c>
      <c r="AJ127" s="9" t="s">
        <v>293</v>
      </c>
      <c r="AK127" s="9" t="s">
        <v>1756</v>
      </c>
      <c r="AL127" s="9" t="s">
        <v>1757</v>
      </c>
      <c r="AM127" s="9"/>
      <c r="AN127" s="9" t="s">
        <v>1758</v>
      </c>
      <c r="AO127" s="9"/>
      <c r="AP127" s="9" t="s">
        <v>597</v>
      </c>
      <c r="AQ127" s="9" t="s">
        <v>355</v>
      </c>
      <c r="AR127" t="b">
        <v>0</v>
      </c>
      <c r="AS127" s="10"/>
      <c r="AT127" s="10" t="s">
        <v>299</v>
      </c>
      <c r="AU127" s="9"/>
      <c r="AV127" t="b">
        <v>0</v>
      </c>
      <c r="AW127" s="12"/>
      <c r="AX127" s="11"/>
      <c r="AY127" s="9"/>
      <c r="AZ127" t="b">
        <v>0</v>
      </c>
      <c r="BA127" s="9"/>
      <c r="BB127" s="12"/>
      <c r="BC127" s="11"/>
      <c r="BD127" s="9" t="s">
        <v>300</v>
      </c>
      <c r="BE127" s="9" t="s">
        <v>47</v>
      </c>
      <c r="BF127" s="9" t="s">
        <v>402</v>
      </c>
      <c r="BG127" s="9" t="s">
        <v>529</v>
      </c>
      <c r="BH127" s="9" t="s">
        <v>304</v>
      </c>
      <c r="BI127" s="9" t="s">
        <v>638</v>
      </c>
      <c r="BJ127" s="9" t="s">
        <v>639</v>
      </c>
      <c r="BK127" s="11">
        <v>856</v>
      </c>
      <c r="BL127" s="16">
        <v>190.62728999999999</v>
      </c>
      <c r="BM127" s="10"/>
      <c r="BN127" s="10"/>
      <c r="BO127" s="10"/>
      <c r="BP127" s="16"/>
      <c r="BQ127" s="16"/>
      <c r="BR127" s="9"/>
      <c r="BS127" s="9"/>
      <c r="BT127" s="9"/>
      <c r="BU127" s="9"/>
      <c r="BV127" s="9"/>
      <c r="BW127" s="10"/>
      <c r="BX127" s="15" t="s">
        <v>1759</v>
      </c>
      <c r="BY127" s="10">
        <v>45736</v>
      </c>
      <c r="BZ127" s="10">
        <v>53041</v>
      </c>
      <c r="CA127" s="10">
        <v>45804</v>
      </c>
      <c r="CB127" t="b">
        <v>0</v>
      </c>
      <c r="CC127" s="9" t="s">
        <v>308</v>
      </c>
      <c r="CD127" s="9" t="s">
        <v>309</v>
      </c>
    </row>
    <row r="128" spans="1:82">
      <c r="A128" s="8">
        <v>29126</v>
      </c>
      <c r="B128" s="9" t="s">
        <v>1760</v>
      </c>
      <c r="C128" s="9" t="s">
        <v>1257</v>
      </c>
      <c r="D128" s="10">
        <v>45736</v>
      </c>
      <c r="E128" s="9" t="s">
        <v>1761</v>
      </c>
      <c r="F128" s="9" t="s">
        <v>1762</v>
      </c>
      <c r="G128" s="9" t="s">
        <v>1763</v>
      </c>
      <c r="H128" s="9" t="s">
        <v>315</v>
      </c>
      <c r="I128" s="9" t="s">
        <v>282</v>
      </c>
      <c r="J128" s="9" t="s">
        <v>719</v>
      </c>
      <c r="K128" s="9" t="s">
        <v>284</v>
      </c>
      <c r="L128" s="9" t="s">
        <v>1764</v>
      </c>
      <c r="M128" s="9" t="s">
        <v>1765</v>
      </c>
      <c r="N128" s="8">
        <v>1</v>
      </c>
      <c r="O128" s="9" t="s">
        <v>1766</v>
      </c>
      <c r="P128" s="11">
        <v>250.25</v>
      </c>
      <c r="Q128" s="11">
        <v>220</v>
      </c>
      <c r="R128" s="11">
        <v>184.5</v>
      </c>
      <c r="S128" s="11">
        <v>1316</v>
      </c>
      <c r="T128" s="11">
        <v>329329</v>
      </c>
      <c r="U128" s="12">
        <v>5.3999999999999999E-2</v>
      </c>
      <c r="V128" s="12">
        <v>0.85499999999999998</v>
      </c>
      <c r="W128" s="11">
        <v>1268.7</v>
      </c>
      <c r="X128" s="9" t="s">
        <v>288</v>
      </c>
      <c r="Y128" s="10">
        <v>44937</v>
      </c>
      <c r="Z128" s="13">
        <v>0.13120000000000001</v>
      </c>
      <c r="AB128" t="b">
        <v>0</v>
      </c>
      <c r="AC128" s="9" t="s">
        <v>289</v>
      </c>
      <c r="AD128" s="9" t="s">
        <v>290</v>
      </c>
      <c r="AE128" s="8">
        <v>1098.9590000000001</v>
      </c>
      <c r="AF128" s="14">
        <v>43.315556000000001</v>
      </c>
      <c r="AG128" s="14">
        <v>2.4643799999999998</v>
      </c>
      <c r="AH128" s="9" t="s">
        <v>483</v>
      </c>
      <c r="AI128" s="15" t="s">
        <v>319</v>
      </c>
      <c r="AJ128" s="9" t="s">
        <v>293</v>
      </c>
      <c r="AK128" s="9" t="s">
        <v>1767</v>
      </c>
      <c r="AL128" s="9" t="s">
        <v>1768</v>
      </c>
      <c r="AM128" s="9"/>
      <c r="AN128" s="9" t="s">
        <v>1769</v>
      </c>
      <c r="AO128" s="9"/>
      <c r="AP128" s="9" t="s">
        <v>139</v>
      </c>
      <c r="AQ128" s="9" t="s">
        <v>372</v>
      </c>
      <c r="AR128" t="b">
        <v>0</v>
      </c>
      <c r="AS128" s="10"/>
      <c r="AT128" s="10" t="s">
        <v>299</v>
      </c>
      <c r="AU128" s="9"/>
      <c r="AV128" t="b">
        <v>0</v>
      </c>
      <c r="AW128" s="12"/>
      <c r="AX128" s="11"/>
      <c r="AY128" s="9"/>
      <c r="AZ128" t="b">
        <v>0</v>
      </c>
      <c r="BA128" s="9"/>
      <c r="BB128" s="12"/>
      <c r="BC128" s="11"/>
      <c r="BD128" s="9" t="s">
        <v>325</v>
      </c>
      <c r="BE128" s="9" t="s">
        <v>47</v>
      </c>
      <c r="BF128" s="9" t="s">
        <v>302</v>
      </c>
      <c r="BG128" s="9" t="s">
        <v>738</v>
      </c>
      <c r="BH128" s="9" t="s">
        <v>304</v>
      </c>
      <c r="BI128" s="9" t="s">
        <v>1267</v>
      </c>
      <c r="BJ128" s="9" t="s">
        <v>1268</v>
      </c>
      <c r="BK128" s="11">
        <v>856</v>
      </c>
      <c r="BL128" s="16">
        <v>156.94175000000001</v>
      </c>
      <c r="BM128" s="10">
        <v>45824</v>
      </c>
      <c r="BN128" s="10">
        <v>45825</v>
      </c>
      <c r="BO128" s="10"/>
      <c r="BP128" s="16"/>
      <c r="BQ128" s="16"/>
      <c r="BR128" s="9"/>
      <c r="BS128" s="9"/>
      <c r="BT128" s="9"/>
      <c r="BU128" s="9"/>
      <c r="BV128" s="9"/>
      <c r="BW128" s="10"/>
      <c r="BX128" s="15" t="s">
        <v>1770</v>
      </c>
      <c r="BY128" s="10"/>
      <c r="BZ128" s="10"/>
      <c r="CA128" s="10"/>
      <c r="CB128" t="b">
        <v>0</v>
      </c>
      <c r="CC128" s="9" t="s">
        <v>308</v>
      </c>
      <c r="CD128" s="9" t="s">
        <v>309</v>
      </c>
    </row>
    <row r="129" spans="1:82" ht="43.5">
      <c r="A129" s="8">
        <v>81544</v>
      </c>
      <c r="B129" s="9" t="s">
        <v>1760</v>
      </c>
      <c r="C129" s="9" t="s">
        <v>1257</v>
      </c>
      <c r="D129" s="10">
        <v>45736</v>
      </c>
      <c r="E129" s="9" t="s">
        <v>1761</v>
      </c>
      <c r="F129" s="9" t="s">
        <v>1762</v>
      </c>
      <c r="G129" s="9" t="s">
        <v>1763</v>
      </c>
      <c r="H129" s="9" t="s">
        <v>281</v>
      </c>
      <c r="I129" s="9" t="s">
        <v>1771</v>
      </c>
      <c r="J129" s="9" t="s">
        <v>719</v>
      </c>
      <c r="K129" s="9" t="s">
        <v>284</v>
      </c>
      <c r="L129" s="9" t="s">
        <v>1772</v>
      </c>
      <c r="M129" s="9" t="s">
        <v>1773</v>
      </c>
      <c r="N129" s="8">
        <v>1</v>
      </c>
      <c r="O129" s="9" t="s">
        <v>1774</v>
      </c>
      <c r="P129" s="11">
        <v>324.87</v>
      </c>
      <c r="Q129" s="11">
        <v>265</v>
      </c>
      <c r="R129" s="11">
        <v>249.9</v>
      </c>
      <c r="S129" s="11">
        <v>1293</v>
      </c>
      <c r="T129" s="11">
        <v>420056.91</v>
      </c>
      <c r="U129" s="12">
        <v>5.3999999999999999E-2</v>
      </c>
      <c r="V129" s="12">
        <v>0.85499999999999998</v>
      </c>
      <c r="W129" s="11">
        <v>1268.7</v>
      </c>
      <c r="X129" s="9" t="s">
        <v>288</v>
      </c>
      <c r="Y129" s="10">
        <v>44937</v>
      </c>
      <c r="Z129" s="13">
        <v>0.13120000000000001</v>
      </c>
      <c r="AB129" t="b">
        <v>0</v>
      </c>
      <c r="AC129" s="9" t="s">
        <v>289</v>
      </c>
      <c r="AD129" s="9" t="s">
        <v>290</v>
      </c>
      <c r="AE129" s="8">
        <v>1426.6489999999999</v>
      </c>
      <c r="AF129" s="14">
        <v>43.315668000000002</v>
      </c>
      <c r="AG129" s="14">
        <v>2.4649770000000002</v>
      </c>
      <c r="AH129" s="9" t="s">
        <v>483</v>
      </c>
      <c r="AI129" s="15" t="s">
        <v>319</v>
      </c>
      <c r="AJ129" s="9" t="s">
        <v>293</v>
      </c>
      <c r="AK129" s="9" t="s">
        <v>1767</v>
      </c>
      <c r="AL129" s="9" t="s">
        <v>1768</v>
      </c>
      <c r="AM129" s="9"/>
      <c r="AN129" s="9" t="s">
        <v>1769</v>
      </c>
      <c r="AO129" s="9"/>
      <c r="AP129" s="9" t="s">
        <v>139</v>
      </c>
      <c r="AQ129" s="9" t="s">
        <v>372</v>
      </c>
      <c r="AR129" t="b">
        <v>0</v>
      </c>
      <c r="AS129" s="10"/>
      <c r="AT129" s="10" t="s">
        <v>299</v>
      </c>
      <c r="AU129" s="9"/>
      <c r="AV129" t="b">
        <v>0</v>
      </c>
      <c r="AW129" s="12"/>
      <c r="AX129" s="11"/>
      <c r="AY129" s="9"/>
      <c r="AZ129" t="b">
        <v>0</v>
      </c>
      <c r="BA129" s="9"/>
      <c r="BB129" s="12"/>
      <c r="BC129" s="11"/>
      <c r="BD129" s="9" t="s">
        <v>325</v>
      </c>
      <c r="BE129" s="9" t="s">
        <v>47</v>
      </c>
      <c r="BF129" s="9" t="s">
        <v>302</v>
      </c>
      <c r="BG129" s="9" t="s">
        <v>738</v>
      </c>
      <c r="BH129" s="9" t="s">
        <v>304</v>
      </c>
      <c r="BI129" s="9" t="s">
        <v>1267</v>
      </c>
      <c r="BJ129" s="9" t="s">
        <v>1268</v>
      </c>
      <c r="BK129" s="11">
        <v>856</v>
      </c>
      <c r="BL129" s="16">
        <v>184.32729</v>
      </c>
      <c r="BM129" s="10">
        <v>45755</v>
      </c>
      <c r="BN129" s="10">
        <v>45793</v>
      </c>
      <c r="BO129" s="10"/>
      <c r="BP129" s="16"/>
      <c r="BQ129" s="16"/>
      <c r="BR129" s="9"/>
      <c r="BS129" s="9"/>
      <c r="BT129" s="9"/>
      <c r="BU129" s="9"/>
      <c r="BV129" s="9"/>
      <c r="BW129" s="10"/>
      <c r="BX129" s="15" t="s">
        <v>1775</v>
      </c>
      <c r="BY129" s="10"/>
      <c r="BZ129" s="10"/>
      <c r="CA129" s="10"/>
      <c r="CB129" t="b">
        <v>0</v>
      </c>
      <c r="CC129" s="9" t="s">
        <v>308</v>
      </c>
      <c r="CD129" s="9" t="s">
        <v>309</v>
      </c>
    </row>
    <row r="130" spans="1:82">
      <c r="A130" s="8">
        <v>94890</v>
      </c>
      <c r="B130" s="9" t="s">
        <v>1776</v>
      </c>
      <c r="C130" s="9" t="s">
        <v>628</v>
      </c>
      <c r="D130" s="10">
        <v>45735</v>
      </c>
      <c r="E130" s="9" t="s">
        <v>1777</v>
      </c>
      <c r="F130" s="9" t="s">
        <v>1778</v>
      </c>
      <c r="G130" s="9" t="s">
        <v>1779</v>
      </c>
      <c r="H130" s="9" t="s">
        <v>281</v>
      </c>
      <c r="I130" s="9" t="s">
        <v>282</v>
      </c>
      <c r="J130" s="9" t="s">
        <v>283</v>
      </c>
      <c r="K130" s="9" t="s">
        <v>284</v>
      </c>
      <c r="L130" s="9" t="s">
        <v>1780</v>
      </c>
      <c r="M130" s="9" t="s">
        <v>1781</v>
      </c>
      <c r="N130" s="8">
        <v>1</v>
      </c>
      <c r="O130" s="9" t="s">
        <v>1782</v>
      </c>
      <c r="P130" s="11">
        <v>263.89999999999998</v>
      </c>
      <c r="Q130" s="11">
        <v>220</v>
      </c>
      <c r="R130" s="11">
        <v>206</v>
      </c>
      <c r="S130" s="11">
        <v>1171</v>
      </c>
      <c r="T130" s="11">
        <v>309026.90000000002</v>
      </c>
      <c r="U130" s="12">
        <v>5.3999999999999999E-2</v>
      </c>
      <c r="V130" s="12">
        <v>0.86870000000000003</v>
      </c>
      <c r="W130" s="11">
        <v>1164.97</v>
      </c>
      <c r="X130" s="9" t="s">
        <v>288</v>
      </c>
      <c r="Y130" s="10">
        <v>45163</v>
      </c>
      <c r="Z130" s="13">
        <v>0.124</v>
      </c>
      <c r="AB130" t="b">
        <v>0</v>
      </c>
      <c r="AC130" s="9" t="s">
        <v>289</v>
      </c>
      <c r="AD130" s="9" t="s">
        <v>290</v>
      </c>
      <c r="AE130" s="8">
        <v>1158.903</v>
      </c>
      <c r="AF130" s="14">
        <v>44.531860000000002</v>
      </c>
      <c r="AG130" s="14">
        <v>1.3692599999999999</v>
      </c>
      <c r="AH130" s="9" t="s">
        <v>524</v>
      </c>
      <c r="AI130" s="15" t="s">
        <v>396</v>
      </c>
      <c r="AJ130" s="9" t="s">
        <v>293</v>
      </c>
      <c r="AK130" s="9" t="s">
        <v>1783</v>
      </c>
      <c r="AL130" s="9" t="s">
        <v>1784</v>
      </c>
      <c r="AM130" s="9"/>
      <c r="AN130" s="9" t="s">
        <v>1785</v>
      </c>
      <c r="AO130" s="9"/>
      <c r="AP130" s="9" t="s">
        <v>371</v>
      </c>
      <c r="AQ130" s="9" t="s">
        <v>372</v>
      </c>
      <c r="AR130" t="b">
        <v>0</v>
      </c>
      <c r="AS130" s="10"/>
      <c r="AT130" s="10" t="s">
        <v>299</v>
      </c>
      <c r="AU130" s="9"/>
      <c r="AV130" t="b">
        <v>0</v>
      </c>
      <c r="AW130" s="12"/>
      <c r="AX130" s="11"/>
      <c r="AY130" s="9"/>
      <c r="AZ130" t="b">
        <v>0</v>
      </c>
      <c r="BA130" s="9"/>
      <c r="BB130" s="12"/>
      <c r="BC130" s="11"/>
      <c r="BD130" s="9" t="s">
        <v>300</v>
      </c>
      <c r="BE130" s="9" t="s">
        <v>47</v>
      </c>
      <c r="BF130" s="9" t="s">
        <v>702</v>
      </c>
      <c r="BG130" s="9" t="s">
        <v>416</v>
      </c>
      <c r="BH130" s="9" t="s">
        <v>304</v>
      </c>
      <c r="BI130" s="9" t="s">
        <v>638</v>
      </c>
      <c r="BJ130" s="9" t="s">
        <v>639</v>
      </c>
      <c r="BK130" s="11">
        <v>856</v>
      </c>
      <c r="BL130" s="16">
        <v>168.25129999999999</v>
      </c>
      <c r="BM130" s="10"/>
      <c r="BN130" s="10"/>
      <c r="BO130" s="10"/>
      <c r="BP130" s="16"/>
      <c r="BQ130" s="16"/>
      <c r="BR130" s="9" t="s">
        <v>1786</v>
      </c>
      <c r="BS130" s="9" t="s">
        <v>1787</v>
      </c>
      <c r="BT130" s="9" t="s">
        <v>1788</v>
      </c>
      <c r="BU130" s="9" t="s">
        <v>1778</v>
      </c>
      <c r="BV130" s="9"/>
      <c r="BW130" s="10"/>
      <c r="BX130" s="15" t="s">
        <v>1595</v>
      </c>
      <c r="BY130" s="10"/>
      <c r="BZ130" s="10"/>
      <c r="CA130" s="10"/>
      <c r="CB130" t="b">
        <v>0</v>
      </c>
      <c r="CC130" s="9" t="s">
        <v>308</v>
      </c>
      <c r="CD130" s="9" t="s">
        <v>309</v>
      </c>
    </row>
    <row r="131" spans="1:82">
      <c r="A131" s="8">
        <v>35451</v>
      </c>
      <c r="B131" s="9" t="s">
        <v>1789</v>
      </c>
      <c r="C131" s="9" t="s">
        <v>277</v>
      </c>
      <c r="D131" s="10">
        <v>45735</v>
      </c>
      <c r="E131" s="9" t="s">
        <v>1790</v>
      </c>
      <c r="F131" s="9" t="s">
        <v>1791</v>
      </c>
      <c r="G131" s="9" t="s">
        <v>1792</v>
      </c>
      <c r="H131" s="9" t="s">
        <v>281</v>
      </c>
      <c r="I131" s="9" t="s">
        <v>282</v>
      </c>
      <c r="J131" s="9" t="s">
        <v>283</v>
      </c>
      <c r="K131" s="9" t="s">
        <v>284</v>
      </c>
      <c r="L131" s="9" t="s">
        <v>1793</v>
      </c>
      <c r="M131" s="9" t="s">
        <v>1794</v>
      </c>
      <c r="N131" s="8">
        <v>1</v>
      </c>
      <c r="O131" s="9" t="s">
        <v>1795</v>
      </c>
      <c r="P131" s="11">
        <v>218.4</v>
      </c>
      <c r="Q131" s="11">
        <v>220</v>
      </c>
      <c r="R131" s="11">
        <v>165</v>
      </c>
      <c r="S131" s="11">
        <v>1167</v>
      </c>
      <c r="T131" s="11">
        <v>254872.8</v>
      </c>
      <c r="U131" s="12">
        <v>5.3999999999999999E-2</v>
      </c>
      <c r="V131" s="12">
        <v>0.87129999999999996</v>
      </c>
      <c r="W131" s="11">
        <v>1168.8599999999999</v>
      </c>
      <c r="X131" s="9" t="s">
        <v>288</v>
      </c>
      <c r="Y131" s="10">
        <v>45125</v>
      </c>
      <c r="Z131" s="13">
        <v>0.12740000000000001</v>
      </c>
      <c r="AB131" t="b">
        <v>0</v>
      </c>
      <c r="AC131" s="9" t="s">
        <v>289</v>
      </c>
      <c r="AD131" s="9" t="s">
        <v>290</v>
      </c>
      <c r="AE131" s="8">
        <v>959.09199999999998</v>
      </c>
      <c r="AF131" s="14">
        <v>43.566980000000001</v>
      </c>
      <c r="AG131" s="14">
        <v>1.6299999999999999E-2</v>
      </c>
      <c r="AH131" s="9" t="s">
        <v>291</v>
      </c>
      <c r="AI131" s="15" t="s">
        <v>319</v>
      </c>
      <c r="AJ131" s="9" t="s">
        <v>293</v>
      </c>
      <c r="AK131" s="9" t="s">
        <v>1796</v>
      </c>
      <c r="AL131" s="9" t="s">
        <v>1797</v>
      </c>
      <c r="AM131" s="9"/>
      <c r="AN131" s="9" t="s">
        <v>1798</v>
      </c>
      <c r="AO131" s="9"/>
      <c r="AP131" s="9" t="s">
        <v>371</v>
      </c>
      <c r="AQ131" s="9" t="s">
        <v>355</v>
      </c>
      <c r="AR131" t="b">
        <v>0</v>
      </c>
      <c r="AS131" s="10"/>
      <c r="AT131" s="10" t="s">
        <v>299</v>
      </c>
      <c r="AU131" s="9"/>
      <c r="AV131" t="b">
        <v>0</v>
      </c>
      <c r="AW131" s="12"/>
      <c r="AX131" s="11"/>
      <c r="AY131" s="9"/>
      <c r="AZ131" t="b">
        <v>0</v>
      </c>
      <c r="BA131" s="9"/>
      <c r="BB131" s="12"/>
      <c r="BC131" s="11"/>
      <c r="BD131" s="9" t="s">
        <v>325</v>
      </c>
      <c r="BE131" s="9" t="s">
        <v>301</v>
      </c>
      <c r="BF131" s="9" t="s">
        <v>373</v>
      </c>
      <c r="BG131" s="9" t="s">
        <v>749</v>
      </c>
      <c r="BH131" s="9" t="s">
        <v>304</v>
      </c>
      <c r="BI131" s="9" t="s">
        <v>305</v>
      </c>
      <c r="BJ131" s="9" t="s">
        <v>306</v>
      </c>
      <c r="BK131" s="11">
        <v>856</v>
      </c>
      <c r="BL131" s="16">
        <v>151.55279999999999</v>
      </c>
      <c r="BM131" s="10"/>
      <c r="BN131" s="10"/>
      <c r="BO131" s="10"/>
      <c r="BP131" s="16"/>
      <c r="BQ131" s="16"/>
      <c r="BR131" s="9"/>
      <c r="BS131" s="9"/>
      <c r="BT131" s="9"/>
      <c r="BU131" s="9"/>
      <c r="BV131" s="9"/>
      <c r="BW131" s="10"/>
      <c r="BX131" s="15" t="s">
        <v>1799</v>
      </c>
      <c r="BY131" s="10"/>
      <c r="BZ131" s="10"/>
      <c r="CA131" s="10"/>
      <c r="CB131" t="b">
        <v>0</v>
      </c>
      <c r="CC131" s="9" t="s">
        <v>308</v>
      </c>
      <c r="CD131" s="9" t="s">
        <v>309</v>
      </c>
    </row>
    <row r="132" spans="1:82">
      <c r="A132" s="8">
        <v>61259</v>
      </c>
      <c r="B132" s="9" t="s">
        <v>1800</v>
      </c>
      <c r="C132" s="9" t="s">
        <v>277</v>
      </c>
      <c r="D132" s="10">
        <v>45730</v>
      </c>
      <c r="E132" s="9" t="s">
        <v>1801</v>
      </c>
      <c r="F132" s="9" t="s">
        <v>1802</v>
      </c>
      <c r="G132" s="9" t="s">
        <v>1803</v>
      </c>
      <c r="H132" s="9" t="s">
        <v>281</v>
      </c>
      <c r="I132" s="9" t="s">
        <v>282</v>
      </c>
      <c r="J132" s="9" t="s">
        <v>283</v>
      </c>
      <c r="K132" s="9" t="s">
        <v>284</v>
      </c>
      <c r="L132" s="9" t="s">
        <v>1804</v>
      </c>
      <c r="M132" s="9" t="s">
        <v>1805</v>
      </c>
      <c r="N132" s="8">
        <v>1</v>
      </c>
      <c r="O132" s="9" t="s">
        <v>1806</v>
      </c>
      <c r="P132" s="11">
        <v>324.87</v>
      </c>
      <c r="Q132" s="11">
        <v>250</v>
      </c>
      <c r="R132" s="11">
        <v>249.9</v>
      </c>
      <c r="S132" s="11">
        <v>1149</v>
      </c>
      <c r="T132" s="11">
        <v>373275.63</v>
      </c>
      <c r="U132" s="12">
        <v>5.3999999999999999E-2</v>
      </c>
      <c r="V132" s="12">
        <v>0.87470000000000003</v>
      </c>
      <c r="W132" s="11">
        <v>1124</v>
      </c>
      <c r="X132" s="9" t="s">
        <v>288</v>
      </c>
      <c r="Y132" s="10">
        <v>44820</v>
      </c>
      <c r="Z132" s="13">
        <v>0.13120000000000001</v>
      </c>
      <c r="AA132" t="b">
        <v>1</v>
      </c>
      <c r="AB132" t="b">
        <v>0</v>
      </c>
      <c r="AC132" s="9" t="s">
        <v>289</v>
      </c>
      <c r="AD132" s="9" t="s">
        <v>290</v>
      </c>
      <c r="AE132" s="8">
        <v>1426.6489999999999</v>
      </c>
      <c r="AF132" s="14">
        <v>44.262369999999997</v>
      </c>
      <c r="AG132" s="14">
        <v>2.1963699999999999</v>
      </c>
      <c r="AH132" s="9" t="s">
        <v>291</v>
      </c>
      <c r="AI132" s="15" t="s">
        <v>319</v>
      </c>
      <c r="AJ132" s="9" t="s">
        <v>293</v>
      </c>
      <c r="AK132" s="9" t="s">
        <v>1807</v>
      </c>
      <c r="AL132" s="9" t="s">
        <v>1808</v>
      </c>
      <c r="AM132" s="9"/>
      <c r="AN132" s="9" t="s">
        <v>1809</v>
      </c>
      <c r="AO132" s="9"/>
      <c r="AP132" s="9" t="s">
        <v>139</v>
      </c>
      <c r="AQ132" s="9" t="s">
        <v>372</v>
      </c>
      <c r="AR132" t="b">
        <v>0</v>
      </c>
      <c r="AS132" s="10"/>
      <c r="AT132" s="10" t="s">
        <v>299</v>
      </c>
      <c r="AU132" s="9"/>
      <c r="AV132" t="b">
        <v>0</v>
      </c>
      <c r="AW132" s="12"/>
      <c r="AX132" s="11"/>
      <c r="AY132" s="9"/>
      <c r="AZ132" t="b">
        <v>0</v>
      </c>
      <c r="BA132" s="9"/>
      <c r="BB132" s="12"/>
      <c r="BC132" s="11"/>
      <c r="BD132" s="9" t="s">
        <v>325</v>
      </c>
      <c r="BE132" s="9" t="s">
        <v>301</v>
      </c>
      <c r="BF132" s="9" t="s">
        <v>356</v>
      </c>
      <c r="BG132" s="9" t="s">
        <v>416</v>
      </c>
      <c r="BH132" s="9" t="s">
        <v>304</v>
      </c>
      <c r="BI132" s="9" t="s">
        <v>305</v>
      </c>
      <c r="BJ132" s="9" t="s">
        <v>306</v>
      </c>
      <c r="BK132" s="11">
        <v>856</v>
      </c>
      <c r="BL132" s="16">
        <v>190.62728999999999</v>
      </c>
      <c r="BM132" s="10"/>
      <c r="BN132" s="10"/>
      <c r="BO132" s="10"/>
      <c r="BP132" s="16"/>
      <c r="BQ132" s="16"/>
      <c r="BR132" s="9"/>
      <c r="BS132" s="9"/>
      <c r="BT132" s="9"/>
      <c r="BU132" s="9"/>
      <c r="BV132" s="9"/>
      <c r="BW132" s="10"/>
      <c r="BX132" s="15" t="s">
        <v>503</v>
      </c>
      <c r="BY132" s="10"/>
      <c r="BZ132" s="10"/>
      <c r="CA132" s="10"/>
      <c r="CB132" t="b">
        <v>0</v>
      </c>
      <c r="CC132" s="9" t="s">
        <v>308</v>
      </c>
      <c r="CD132" s="9" t="s">
        <v>309</v>
      </c>
    </row>
    <row r="133" spans="1:82">
      <c r="A133" s="8">
        <v>20948</v>
      </c>
      <c r="B133" s="9" t="s">
        <v>1810</v>
      </c>
      <c r="C133" s="9" t="s">
        <v>932</v>
      </c>
      <c r="D133" s="10">
        <v>45729</v>
      </c>
      <c r="E133" s="9" t="s">
        <v>1811</v>
      </c>
      <c r="F133" s="9" t="s">
        <v>1812</v>
      </c>
      <c r="G133" s="9" t="s">
        <v>1813</v>
      </c>
      <c r="H133" s="9" t="s">
        <v>281</v>
      </c>
      <c r="I133" s="9" t="s">
        <v>282</v>
      </c>
      <c r="J133" s="9" t="s">
        <v>283</v>
      </c>
      <c r="K133" s="9" t="s">
        <v>284</v>
      </c>
      <c r="L133" s="9" t="s">
        <v>1814</v>
      </c>
      <c r="M133" s="9" t="s">
        <v>1815</v>
      </c>
      <c r="N133" s="8">
        <v>1</v>
      </c>
      <c r="O133" s="9" t="s">
        <v>1816</v>
      </c>
      <c r="P133" s="11">
        <v>123.84</v>
      </c>
      <c r="Q133" s="11">
        <v>110</v>
      </c>
      <c r="R133" s="11">
        <v>99.9</v>
      </c>
      <c r="S133" s="11">
        <v>1296</v>
      </c>
      <c r="T133" s="11">
        <v>160496.64000000001</v>
      </c>
      <c r="U133" s="12">
        <v>5.3999999999999999E-2</v>
      </c>
      <c r="V133" s="12">
        <v>0.86399999999999999</v>
      </c>
      <c r="W133" s="11">
        <v>1267.3</v>
      </c>
      <c r="X133" s="9" t="s">
        <v>288</v>
      </c>
      <c r="Y133" s="10">
        <v>44957</v>
      </c>
      <c r="Z133" s="13">
        <v>0.13120000000000001</v>
      </c>
      <c r="AB133" t="b">
        <v>0</v>
      </c>
      <c r="AC133" s="9" t="s">
        <v>289</v>
      </c>
      <c r="AD133" s="9" t="s">
        <v>290</v>
      </c>
      <c r="AE133" s="8">
        <v>581.12599999999998</v>
      </c>
      <c r="AF133" s="14">
        <v>45.615070000000003</v>
      </c>
      <c r="AG133" s="14">
        <v>1.5331600000000001</v>
      </c>
      <c r="AH133" s="9" t="s">
        <v>483</v>
      </c>
      <c r="AI133" s="15" t="s">
        <v>319</v>
      </c>
      <c r="AJ133" s="9" t="s">
        <v>293</v>
      </c>
      <c r="AK133" s="9" t="s">
        <v>1817</v>
      </c>
      <c r="AL133" s="9" t="s">
        <v>1818</v>
      </c>
      <c r="AM133" s="9"/>
      <c r="AN133" s="9" t="s">
        <v>1819</v>
      </c>
      <c r="AO133" s="9"/>
      <c r="AP133" s="9" t="s">
        <v>43</v>
      </c>
      <c r="AQ133" s="9" t="s">
        <v>847</v>
      </c>
      <c r="AR133" t="b">
        <v>0</v>
      </c>
      <c r="AS133" s="10"/>
      <c r="AT133" s="10" t="s">
        <v>299</v>
      </c>
      <c r="AU133" s="9"/>
      <c r="AV133" t="b">
        <v>0</v>
      </c>
      <c r="AW133" s="12"/>
      <c r="AX133" s="11"/>
      <c r="AY133" s="9"/>
      <c r="AZ133" t="b">
        <v>0</v>
      </c>
      <c r="BA133" s="9"/>
      <c r="BB133" s="12"/>
      <c r="BC133" s="11"/>
      <c r="BD133" s="9" t="s">
        <v>325</v>
      </c>
      <c r="BE133" s="9" t="s">
        <v>301</v>
      </c>
      <c r="BF133" s="9" t="s">
        <v>402</v>
      </c>
      <c r="BG133" s="9" t="s">
        <v>416</v>
      </c>
      <c r="BH133" s="9" t="s">
        <v>304</v>
      </c>
      <c r="BI133" s="9" t="s">
        <v>943</v>
      </c>
      <c r="BJ133" s="9" t="s">
        <v>944</v>
      </c>
      <c r="BK133" s="11">
        <v>856</v>
      </c>
      <c r="BL133" s="16">
        <v>110.54928</v>
      </c>
      <c r="BM133" s="10">
        <v>45744</v>
      </c>
      <c r="BN133" s="10">
        <v>45792</v>
      </c>
      <c r="BO133" s="10"/>
      <c r="BP133" s="16"/>
      <c r="BQ133" s="16"/>
      <c r="BR133" s="9"/>
      <c r="BS133" s="9"/>
      <c r="BT133" s="9"/>
      <c r="BU133" s="9"/>
      <c r="BV133" s="9"/>
      <c r="BW133" s="10"/>
      <c r="BX133" s="15" t="s">
        <v>1820</v>
      </c>
      <c r="BY133" s="10"/>
      <c r="BZ133" s="10"/>
      <c r="CA133" s="10"/>
      <c r="CB133" t="b">
        <v>0</v>
      </c>
      <c r="CC133" s="9" t="s">
        <v>308</v>
      </c>
      <c r="CD133" s="9" t="s">
        <v>309</v>
      </c>
    </row>
    <row r="134" spans="1:82" ht="29.1">
      <c r="A134" s="8">
        <v>3438</v>
      </c>
      <c r="B134" s="9" t="s">
        <v>1821</v>
      </c>
      <c r="C134" s="9" t="s">
        <v>377</v>
      </c>
      <c r="D134" s="10">
        <v>45729</v>
      </c>
      <c r="E134" s="9" t="s">
        <v>1822</v>
      </c>
      <c r="F134" s="9" t="s">
        <v>1823</v>
      </c>
      <c r="G134" s="9" t="s">
        <v>1824</v>
      </c>
      <c r="H134" s="9" t="s">
        <v>315</v>
      </c>
      <c r="I134" s="9" t="s">
        <v>282</v>
      </c>
      <c r="J134" s="9" t="s">
        <v>283</v>
      </c>
      <c r="K134" s="9" t="s">
        <v>284</v>
      </c>
      <c r="L134" s="9" t="s">
        <v>1825</v>
      </c>
      <c r="M134" s="9" t="s">
        <v>1826</v>
      </c>
      <c r="N134" s="8">
        <v>1</v>
      </c>
      <c r="O134" s="9" t="s">
        <v>1827</v>
      </c>
      <c r="P134" s="11">
        <v>210.21</v>
      </c>
      <c r="Q134" s="11">
        <v>165</v>
      </c>
      <c r="R134" s="11">
        <v>150</v>
      </c>
      <c r="S134" s="11">
        <v>1301</v>
      </c>
      <c r="T134" s="11">
        <v>273483.21000000002</v>
      </c>
      <c r="U134" s="12">
        <v>5.3999999999999999E-2</v>
      </c>
      <c r="V134" s="12">
        <v>0.84699999999999998</v>
      </c>
      <c r="W134" s="11">
        <v>1481.2</v>
      </c>
      <c r="X134" s="9" t="s">
        <v>288</v>
      </c>
      <c r="Y134" s="10">
        <v>45170</v>
      </c>
      <c r="Z134" s="13">
        <v>0.124</v>
      </c>
      <c r="AB134" t="b">
        <v>0</v>
      </c>
      <c r="AC134" s="9" t="s">
        <v>289</v>
      </c>
      <c r="AD134" s="9" t="s">
        <v>290</v>
      </c>
      <c r="AE134" s="8">
        <v>923.13</v>
      </c>
      <c r="AF134" s="14">
        <v>43.193719999999999</v>
      </c>
      <c r="AG134" s="14">
        <v>6.0798699999999997</v>
      </c>
      <c r="AH134" s="9" t="s">
        <v>291</v>
      </c>
      <c r="AI134" s="15" t="s">
        <v>1828</v>
      </c>
      <c r="AJ134" s="9" t="s">
        <v>293</v>
      </c>
      <c r="AK134" s="9" t="s">
        <v>1829</v>
      </c>
      <c r="AL134" s="9" t="s">
        <v>1830</v>
      </c>
      <c r="AM134" s="9" t="s">
        <v>1831</v>
      </c>
      <c r="AN134" s="9" t="s">
        <v>1832</v>
      </c>
      <c r="AO134" s="9"/>
      <c r="AP134" s="9" t="s">
        <v>139</v>
      </c>
      <c r="AQ134" s="9" t="s">
        <v>341</v>
      </c>
      <c r="AR134" t="b">
        <v>0</v>
      </c>
      <c r="AS134" s="10"/>
      <c r="AT134" s="10" t="s">
        <v>299</v>
      </c>
      <c r="AU134" s="9"/>
      <c r="AV134" t="b">
        <v>0</v>
      </c>
      <c r="AW134" s="12"/>
      <c r="AX134" s="11"/>
      <c r="AY134" s="9"/>
      <c r="AZ134" t="b">
        <v>0</v>
      </c>
      <c r="BA134" s="9"/>
      <c r="BB134" s="12"/>
      <c r="BC134" s="11"/>
      <c r="BD134" s="9" t="s">
        <v>300</v>
      </c>
      <c r="BE134" s="9" t="s">
        <v>301</v>
      </c>
      <c r="BF134" s="9" t="s">
        <v>690</v>
      </c>
      <c r="BG134" s="9" t="s">
        <v>967</v>
      </c>
      <c r="BH134" s="9" t="s">
        <v>304</v>
      </c>
      <c r="BI134" s="9" t="s">
        <v>386</v>
      </c>
      <c r="BJ134" s="9" t="s">
        <v>387</v>
      </c>
      <c r="BK134" s="11">
        <v>856</v>
      </c>
      <c r="BL134" s="16">
        <v>148.54706999999999</v>
      </c>
      <c r="BM134" s="10"/>
      <c r="BN134" s="10"/>
      <c r="BO134" s="10"/>
      <c r="BP134" s="16"/>
      <c r="BQ134" s="16"/>
      <c r="BR134" s="9"/>
      <c r="BS134" s="9"/>
      <c r="BT134" s="9"/>
      <c r="BU134" s="9"/>
      <c r="BV134" s="9"/>
      <c r="BW134" s="10"/>
      <c r="BX134" s="15" t="s">
        <v>703</v>
      </c>
      <c r="BY134" s="10"/>
      <c r="BZ134" s="10"/>
      <c r="CA134" s="10"/>
      <c r="CB134" t="b">
        <v>0</v>
      </c>
      <c r="CC134" s="9" t="s">
        <v>308</v>
      </c>
      <c r="CD134" s="9" t="s">
        <v>309</v>
      </c>
    </row>
    <row r="135" spans="1:82">
      <c r="A135" s="8">
        <v>95689</v>
      </c>
      <c r="B135" s="9" t="s">
        <v>1833</v>
      </c>
      <c r="C135" s="9" t="s">
        <v>1204</v>
      </c>
      <c r="D135" s="10">
        <v>45728</v>
      </c>
      <c r="E135" s="9" t="s">
        <v>1834</v>
      </c>
      <c r="F135" s="9" t="s">
        <v>1835</v>
      </c>
      <c r="G135" s="9" t="s">
        <v>1836</v>
      </c>
      <c r="H135" s="9" t="s">
        <v>315</v>
      </c>
      <c r="I135" s="9" t="s">
        <v>282</v>
      </c>
      <c r="J135" s="9" t="s">
        <v>283</v>
      </c>
      <c r="K135" s="9" t="s">
        <v>284</v>
      </c>
      <c r="L135" s="9" t="s">
        <v>1837</v>
      </c>
      <c r="M135" s="9" t="s">
        <v>1838</v>
      </c>
      <c r="N135" s="8">
        <v>2</v>
      </c>
      <c r="O135" s="9" t="s">
        <v>1839</v>
      </c>
      <c r="P135" s="11">
        <v>498.68</v>
      </c>
      <c r="Q135" s="11">
        <v>385</v>
      </c>
      <c r="R135" s="11">
        <v>372</v>
      </c>
      <c r="S135" s="11">
        <v>1133</v>
      </c>
      <c r="T135" s="11">
        <v>565004.43999999994</v>
      </c>
      <c r="U135" s="12">
        <v>5.3999999999999999E-2</v>
      </c>
      <c r="V135" s="12">
        <v>0.86499999999999999</v>
      </c>
      <c r="W135" s="11">
        <v>1084.7</v>
      </c>
      <c r="X135" s="9" t="s">
        <v>288</v>
      </c>
      <c r="Y135" s="10">
        <v>45191</v>
      </c>
      <c r="Z135" s="13">
        <v>0.1241</v>
      </c>
      <c r="AA135" t="b">
        <v>1</v>
      </c>
      <c r="AB135" t="b">
        <v>0</v>
      </c>
      <c r="AC135" s="9" t="s">
        <v>289</v>
      </c>
      <c r="AD135" s="9" t="s">
        <v>290</v>
      </c>
      <c r="AE135" s="8">
        <v>2189.9299999999998</v>
      </c>
      <c r="AF135" s="14">
        <v>46.188659999999999</v>
      </c>
      <c r="AG135" s="14">
        <v>1.7008700000000001</v>
      </c>
      <c r="AH135" s="9" t="s">
        <v>483</v>
      </c>
      <c r="AI135" s="15" t="s">
        <v>319</v>
      </c>
      <c r="AJ135" s="9" t="s">
        <v>293</v>
      </c>
      <c r="AK135" s="9" t="s">
        <v>1840</v>
      </c>
      <c r="AL135" s="9" t="s">
        <v>1841</v>
      </c>
      <c r="AM135" s="9"/>
      <c r="AN135" s="9" t="s">
        <v>1842</v>
      </c>
      <c r="AO135" s="9"/>
      <c r="AP135" s="9" t="s">
        <v>113</v>
      </c>
      <c r="AQ135" s="9" t="s">
        <v>1212</v>
      </c>
      <c r="AR135" t="b">
        <v>1</v>
      </c>
      <c r="AS135" s="10">
        <v>46022</v>
      </c>
      <c r="AT135" s="10">
        <v>46022</v>
      </c>
      <c r="AU135" s="9" t="s">
        <v>470</v>
      </c>
      <c r="AV135" t="b">
        <v>0</v>
      </c>
      <c r="AW135" s="12"/>
      <c r="AX135" s="11">
        <v>3500</v>
      </c>
      <c r="AY135" s="9" t="s">
        <v>471</v>
      </c>
      <c r="AZ135" t="b">
        <v>1</v>
      </c>
      <c r="BA135" s="9" t="s">
        <v>472</v>
      </c>
      <c r="BB135" s="12"/>
      <c r="BC135" s="11"/>
      <c r="BD135" s="9" t="s">
        <v>325</v>
      </c>
      <c r="BE135" s="9" t="s">
        <v>86</v>
      </c>
      <c r="BF135" s="9" t="s">
        <v>356</v>
      </c>
      <c r="BG135" s="9" t="s">
        <v>529</v>
      </c>
      <c r="BH135" s="9" t="s">
        <v>304</v>
      </c>
      <c r="BI135" s="9" t="s">
        <v>1213</v>
      </c>
      <c r="BJ135" s="9" t="s">
        <v>1214</v>
      </c>
      <c r="BK135" s="11">
        <v>856</v>
      </c>
      <c r="BL135" s="16">
        <v>248.11555999999999</v>
      </c>
      <c r="BM135" s="10">
        <v>45750</v>
      </c>
      <c r="BN135" s="10">
        <v>45792</v>
      </c>
      <c r="BO135" s="10"/>
      <c r="BP135" s="16"/>
      <c r="BQ135" s="16"/>
      <c r="BR135" s="9" t="s">
        <v>1843</v>
      </c>
      <c r="BS135" s="9" t="s">
        <v>1844</v>
      </c>
      <c r="BT135" s="9" t="s">
        <v>1845</v>
      </c>
      <c r="BU135" s="9" t="s">
        <v>1835</v>
      </c>
      <c r="BV135" s="9"/>
      <c r="BW135" s="10"/>
      <c r="BX135" s="15" t="s">
        <v>1155</v>
      </c>
      <c r="BY135" s="10"/>
      <c r="BZ135" s="10"/>
      <c r="CA135" s="10"/>
      <c r="CB135" t="b">
        <v>0</v>
      </c>
      <c r="CC135" s="9" t="s">
        <v>308</v>
      </c>
      <c r="CD135" s="9" t="s">
        <v>309</v>
      </c>
    </row>
    <row r="136" spans="1:82">
      <c r="A136" s="8">
        <v>86552</v>
      </c>
      <c r="B136" s="9" t="s">
        <v>1846</v>
      </c>
      <c r="C136" s="9" t="s">
        <v>1257</v>
      </c>
      <c r="D136" s="10">
        <v>45727</v>
      </c>
      <c r="E136" s="9" t="s">
        <v>1847</v>
      </c>
      <c r="F136" s="9" t="s">
        <v>1848</v>
      </c>
      <c r="G136" s="9" t="s">
        <v>1849</v>
      </c>
      <c r="H136" s="9" t="s">
        <v>281</v>
      </c>
      <c r="I136" s="9" t="s">
        <v>282</v>
      </c>
      <c r="J136" s="9" t="s">
        <v>283</v>
      </c>
      <c r="K136" s="9" t="s">
        <v>284</v>
      </c>
      <c r="L136" s="9" t="s">
        <v>1850</v>
      </c>
      <c r="M136" s="9" t="s">
        <v>1851</v>
      </c>
      <c r="N136" s="8">
        <v>1</v>
      </c>
      <c r="O136" s="9" t="s">
        <v>1852</v>
      </c>
      <c r="P136" s="11">
        <v>316.05</v>
      </c>
      <c r="Q136" s="11">
        <v>250</v>
      </c>
      <c r="R136" s="11">
        <v>249.9</v>
      </c>
      <c r="S136" s="11">
        <v>1241</v>
      </c>
      <c r="T136" s="11">
        <v>392218.05</v>
      </c>
      <c r="U136" s="12">
        <v>5.3999999999999999E-2</v>
      </c>
      <c r="V136" s="12">
        <v>0.85099999999999998</v>
      </c>
      <c r="W136" s="11">
        <v>1217.5</v>
      </c>
      <c r="X136" s="9" t="s">
        <v>288</v>
      </c>
      <c r="Y136" s="10">
        <v>45110</v>
      </c>
      <c r="Z136" s="13">
        <v>0.13120000000000001</v>
      </c>
      <c r="AB136" t="b">
        <v>0</v>
      </c>
      <c r="AC136" s="9" t="s">
        <v>289</v>
      </c>
      <c r="AD136" s="9" t="s">
        <v>290</v>
      </c>
      <c r="AE136" s="8">
        <v>1430.2070000000001</v>
      </c>
      <c r="AF136" s="14">
        <v>43.631320000000002</v>
      </c>
      <c r="AG136" s="14">
        <v>-0.97709999999999997</v>
      </c>
      <c r="AH136" s="9" t="s">
        <v>483</v>
      </c>
      <c r="AI136" s="15" t="s">
        <v>319</v>
      </c>
      <c r="AJ136" s="9" t="s">
        <v>293</v>
      </c>
      <c r="AK136" s="9" t="s">
        <v>1853</v>
      </c>
      <c r="AL136" s="9" t="s">
        <v>1854</v>
      </c>
      <c r="AM136" s="9"/>
      <c r="AN136" s="9" t="s">
        <v>1855</v>
      </c>
      <c r="AO136" s="9"/>
      <c r="AP136" s="9" t="s">
        <v>293</v>
      </c>
      <c r="AQ136" s="9" t="s">
        <v>293</v>
      </c>
      <c r="AR136" t="b">
        <v>0</v>
      </c>
      <c r="AS136" s="10"/>
      <c r="AT136" s="10" t="s">
        <v>299</v>
      </c>
      <c r="AU136" s="9"/>
      <c r="AV136" t="b">
        <v>0</v>
      </c>
      <c r="AW136" s="12"/>
      <c r="AX136" s="11"/>
      <c r="AY136" s="9"/>
      <c r="AZ136" t="b">
        <v>0</v>
      </c>
      <c r="BA136" s="9"/>
      <c r="BB136" s="12"/>
      <c r="BC136" s="11"/>
      <c r="BD136" s="9" t="s">
        <v>325</v>
      </c>
      <c r="BE136" s="9" t="s">
        <v>47</v>
      </c>
      <c r="BF136" s="9" t="s">
        <v>373</v>
      </c>
      <c r="BG136" s="9" t="s">
        <v>749</v>
      </c>
      <c r="BH136" s="9" t="s">
        <v>304</v>
      </c>
      <c r="BI136" s="9" t="s">
        <v>1267</v>
      </c>
      <c r="BJ136" s="9" t="s">
        <v>1268</v>
      </c>
      <c r="BK136" s="11">
        <v>856</v>
      </c>
      <c r="BL136" s="16">
        <v>181.09035</v>
      </c>
      <c r="BM136" s="10">
        <v>45771</v>
      </c>
      <c r="BN136" s="10">
        <v>45792</v>
      </c>
      <c r="BO136" s="10"/>
      <c r="BP136" s="16"/>
      <c r="BQ136" s="16"/>
      <c r="BR136" s="9"/>
      <c r="BS136" s="9"/>
      <c r="BT136" s="9"/>
      <c r="BU136" s="9"/>
      <c r="BV136" s="9"/>
      <c r="BW136" s="10"/>
      <c r="BX136" s="15" t="s">
        <v>1856</v>
      </c>
      <c r="BY136" s="10"/>
      <c r="BZ136" s="10"/>
      <c r="CA136" s="10"/>
      <c r="CB136" t="b">
        <v>0</v>
      </c>
      <c r="CC136" s="9" t="s">
        <v>308</v>
      </c>
      <c r="CD136" s="9" t="s">
        <v>309</v>
      </c>
    </row>
    <row r="137" spans="1:82">
      <c r="A137" s="8">
        <v>34485</v>
      </c>
      <c r="B137" s="9" t="s">
        <v>1857</v>
      </c>
      <c r="C137" s="9" t="s">
        <v>1204</v>
      </c>
      <c r="D137" s="10">
        <v>45727</v>
      </c>
      <c r="E137" s="9" t="s">
        <v>1858</v>
      </c>
      <c r="F137" s="9" t="s">
        <v>1859</v>
      </c>
      <c r="G137" s="9" t="s">
        <v>1860</v>
      </c>
      <c r="H137" s="9" t="s">
        <v>281</v>
      </c>
      <c r="I137" s="9" t="s">
        <v>282</v>
      </c>
      <c r="J137" s="9" t="s">
        <v>283</v>
      </c>
      <c r="K137" s="9" t="s">
        <v>284</v>
      </c>
      <c r="L137" s="9" t="s">
        <v>1861</v>
      </c>
      <c r="M137" s="9" t="s">
        <v>1862</v>
      </c>
      <c r="N137" s="8">
        <v>1</v>
      </c>
      <c r="O137" s="9" t="s">
        <v>1863</v>
      </c>
      <c r="P137" s="11">
        <v>319.41000000000003</v>
      </c>
      <c r="Q137" s="11">
        <v>250</v>
      </c>
      <c r="R137" s="11">
        <v>249.9</v>
      </c>
      <c r="S137" s="11">
        <v>1210</v>
      </c>
      <c r="T137" s="11">
        <v>386486.1</v>
      </c>
      <c r="U137" s="12">
        <v>5.3999999999999999E-2</v>
      </c>
      <c r="V137" s="12">
        <v>0.86399999999999999</v>
      </c>
      <c r="W137" s="11">
        <v>1185.7</v>
      </c>
      <c r="X137" s="9" t="s">
        <v>288</v>
      </c>
      <c r="Y137" s="10">
        <v>44984</v>
      </c>
      <c r="Z137" s="13">
        <v>0.13120000000000001</v>
      </c>
      <c r="AB137" t="b">
        <v>0</v>
      </c>
      <c r="AC137" s="9" t="s">
        <v>289</v>
      </c>
      <c r="AD137" s="9" t="s">
        <v>290</v>
      </c>
      <c r="AE137" s="8">
        <v>1402.672</v>
      </c>
      <c r="AF137" s="14">
        <v>42.95879</v>
      </c>
      <c r="AG137" s="14">
        <v>1.9994000000000001</v>
      </c>
      <c r="AH137" s="9" t="s">
        <v>483</v>
      </c>
      <c r="AI137" s="15" t="s">
        <v>319</v>
      </c>
      <c r="AJ137" s="9" t="s">
        <v>293</v>
      </c>
      <c r="AK137" s="9" t="s">
        <v>1864</v>
      </c>
      <c r="AL137" s="9" t="s">
        <v>1865</v>
      </c>
      <c r="AM137" s="9"/>
      <c r="AN137" s="9" t="s">
        <v>1866</v>
      </c>
      <c r="AO137" s="9"/>
      <c r="AP137" s="9" t="s">
        <v>93</v>
      </c>
      <c r="AQ137" s="9" t="s">
        <v>298</v>
      </c>
      <c r="AR137" t="b">
        <v>0</v>
      </c>
      <c r="AS137" s="10"/>
      <c r="AT137" s="10" t="s">
        <v>299</v>
      </c>
      <c r="AU137" s="9"/>
      <c r="AV137" t="b">
        <v>0</v>
      </c>
      <c r="AW137" s="12"/>
      <c r="AX137" s="11"/>
      <c r="AY137" s="9"/>
      <c r="AZ137" t="b">
        <v>0</v>
      </c>
      <c r="BA137" s="9"/>
      <c r="BB137" s="12"/>
      <c r="BC137" s="11"/>
      <c r="BD137" s="9" t="s">
        <v>325</v>
      </c>
      <c r="BE137" s="9" t="s">
        <v>86</v>
      </c>
      <c r="BF137" s="9" t="s">
        <v>702</v>
      </c>
      <c r="BG137" s="9" t="s">
        <v>416</v>
      </c>
      <c r="BH137" s="9" t="s">
        <v>304</v>
      </c>
      <c r="BI137" s="9" t="s">
        <v>1213</v>
      </c>
      <c r="BJ137" s="9" t="s">
        <v>1214</v>
      </c>
      <c r="BK137" s="11">
        <v>856</v>
      </c>
      <c r="BL137" s="16">
        <v>182.32346999999999</v>
      </c>
      <c r="BM137" s="10">
        <v>45743</v>
      </c>
      <c r="BN137" s="10">
        <v>45748</v>
      </c>
      <c r="BO137" s="10"/>
      <c r="BP137" s="16"/>
      <c r="BQ137" s="16"/>
      <c r="BR137" s="9"/>
      <c r="BS137" s="9"/>
      <c r="BT137" s="9"/>
      <c r="BU137" s="9"/>
      <c r="BV137" s="9"/>
      <c r="BW137" s="10"/>
      <c r="BX137" s="15" t="s">
        <v>458</v>
      </c>
      <c r="BY137" s="10"/>
      <c r="BZ137" s="10"/>
      <c r="CA137" s="10"/>
      <c r="CB137" t="b">
        <v>0</v>
      </c>
      <c r="CC137" s="9" t="s">
        <v>308</v>
      </c>
      <c r="CD137" s="9" t="s">
        <v>309</v>
      </c>
    </row>
    <row r="138" spans="1:82">
      <c r="A138" s="8">
        <v>95691</v>
      </c>
      <c r="B138" s="9" t="s">
        <v>1867</v>
      </c>
      <c r="C138" s="9" t="s">
        <v>1204</v>
      </c>
      <c r="D138" s="10">
        <v>45727</v>
      </c>
      <c r="E138" s="9" t="s">
        <v>1868</v>
      </c>
      <c r="F138" s="9" t="s">
        <v>1168</v>
      </c>
      <c r="G138" s="9" t="s">
        <v>1637</v>
      </c>
      <c r="H138" s="9" t="s">
        <v>315</v>
      </c>
      <c r="I138" s="9" t="s">
        <v>282</v>
      </c>
      <c r="J138" s="9" t="s">
        <v>283</v>
      </c>
      <c r="K138" s="9" t="s">
        <v>284</v>
      </c>
      <c r="L138" s="9" t="s">
        <v>1869</v>
      </c>
      <c r="M138" s="9" t="s">
        <v>1870</v>
      </c>
      <c r="N138" s="8">
        <v>2</v>
      </c>
      <c r="O138" s="9" t="s">
        <v>1871</v>
      </c>
      <c r="P138" s="11">
        <v>499.14</v>
      </c>
      <c r="Q138" s="11">
        <v>495</v>
      </c>
      <c r="R138" s="11">
        <v>418</v>
      </c>
      <c r="S138" s="11">
        <v>1111.6400000000001</v>
      </c>
      <c r="T138" s="11">
        <v>554863.98959999997</v>
      </c>
      <c r="U138" s="12">
        <v>5.3999999999999999E-2</v>
      </c>
      <c r="V138" s="12">
        <v>0.86499999999999999</v>
      </c>
      <c r="W138" s="11">
        <v>1079.7</v>
      </c>
      <c r="X138" s="9" t="s">
        <v>288</v>
      </c>
      <c r="Y138" s="10">
        <v>44965</v>
      </c>
      <c r="Z138" s="13">
        <v>0.13120000000000001</v>
      </c>
      <c r="AB138" t="b">
        <v>0</v>
      </c>
      <c r="AC138" s="9" t="s">
        <v>289</v>
      </c>
      <c r="AD138" s="9" t="s">
        <v>290</v>
      </c>
      <c r="AE138" s="8">
        <v>2191.92</v>
      </c>
      <c r="AF138" s="14">
        <v>46.210569999999997</v>
      </c>
      <c r="AG138" s="14">
        <v>1.67252</v>
      </c>
      <c r="AH138" s="9" t="s">
        <v>483</v>
      </c>
      <c r="AI138" s="15" t="s">
        <v>396</v>
      </c>
      <c r="AJ138" s="9" t="s">
        <v>293</v>
      </c>
      <c r="AK138" s="9" t="s">
        <v>1872</v>
      </c>
      <c r="AL138" s="9" t="s">
        <v>1873</v>
      </c>
      <c r="AM138" s="9"/>
      <c r="AN138" s="9" t="s">
        <v>1874</v>
      </c>
      <c r="AO138" s="9"/>
      <c r="AP138" s="9" t="s">
        <v>113</v>
      </c>
      <c r="AQ138" s="9" t="s">
        <v>1212</v>
      </c>
      <c r="AR138" t="b">
        <v>1</v>
      </c>
      <c r="AS138" s="10">
        <v>46022</v>
      </c>
      <c r="AT138" s="10">
        <v>46022</v>
      </c>
      <c r="AU138" s="9" t="s">
        <v>470</v>
      </c>
      <c r="AV138" t="b">
        <v>0</v>
      </c>
      <c r="AW138" s="12"/>
      <c r="AX138" s="11">
        <v>2000</v>
      </c>
      <c r="AY138" s="9" t="s">
        <v>471</v>
      </c>
      <c r="AZ138" t="b">
        <v>1</v>
      </c>
      <c r="BA138" s="9"/>
      <c r="BB138" s="12"/>
      <c r="BC138" s="11"/>
      <c r="BD138" s="9" t="s">
        <v>325</v>
      </c>
      <c r="BE138" s="9" t="s">
        <v>86</v>
      </c>
      <c r="BF138" s="9" t="s">
        <v>356</v>
      </c>
      <c r="BG138" s="9" t="s">
        <v>529</v>
      </c>
      <c r="BH138" s="9" t="s">
        <v>304</v>
      </c>
      <c r="BI138" s="9" t="s">
        <v>1213</v>
      </c>
      <c r="BJ138" s="9" t="s">
        <v>1214</v>
      </c>
      <c r="BK138" s="11">
        <v>856</v>
      </c>
      <c r="BL138" s="16">
        <v>248.28438</v>
      </c>
      <c r="BM138" s="10">
        <v>45855</v>
      </c>
      <c r="BN138" s="10">
        <v>45925</v>
      </c>
      <c r="BO138" s="10"/>
      <c r="BP138" s="16"/>
      <c r="BQ138" s="16"/>
      <c r="BR138" s="9" t="s">
        <v>1875</v>
      </c>
      <c r="BS138" s="9" t="s">
        <v>1876</v>
      </c>
      <c r="BT138" s="9" t="s">
        <v>1877</v>
      </c>
      <c r="BU138" s="9" t="s">
        <v>1168</v>
      </c>
      <c r="BV138" s="9"/>
      <c r="BW138" s="10"/>
      <c r="BX138" s="15" t="s">
        <v>1155</v>
      </c>
      <c r="BY138" s="10"/>
      <c r="BZ138" s="10"/>
      <c r="CA138" s="10"/>
      <c r="CB138" t="b">
        <v>1</v>
      </c>
      <c r="CC138" s="9" t="s">
        <v>308</v>
      </c>
      <c r="CD138" s="9" t="s">
        <v>309</v>
      </c>
    </row>
    <row r="139" spans="1:82">
      <c r="A139" s="8">
        <v>17717</v>
      </c>
      <c r="B139" s="9" t="s">
        <v>1878</v>
      </c>
      <c r="C139" s="9" t="s">
        <v>1257</v>
      </c>
      <c r="D139" s="10">
        <v>45726</v>
      </c>
      <c r="E139" s="9" t="s">
        <v>1879</v>
      </c>
      <c r="F139" s="9" t="s">
        <v>1880</v>
      </c>
      <c r="G139" s="9" t="s">
        <v>1881</v>
      </c>
      <c r="H139" s="9" t="s">
        <v>281</v>
      </c>
      <c r="I139" s="9" t="s">
        <v>282</v>
      </c>
      <c r="J139" s="9" t="s">
        <v>719</v>
      </c>
      <c r="K139" s="9" t="s">
        <v>284</v>
      </c>
      <c r="L139" s="9" t="s">
        <v>1882</v>
      </c>
      <c r="M139" s="9" t="s">
        <v>1883</v>
      </c>
      <c r="N139" s="8">
        <v>1</v>
      </c>
      <c r="O139" s="9" t="s">
        <v>1884</v>
      </c>
      <c r="P139" s="11">
        <v>296.7</v>
      </c>
      <c r="Q139" s="11">
        <v>220</v>
      </c>
      <c r="R139" s="11">
        <v>213.3</v>
      </c>
      <c r="S139" s="11">
        <v>1146</v>
      </c>
      <c r="T139" s="11">
        <v>340018.2</v>
      </c>
      <c r="U139" s="12">
        <v>5.3999999999999999E-2</v>
      </c>
      <c r="V139" s="12">
        <v>0.85399999999999998</v>
      </c>
      <c r="W139" s="11">
        <v>1115.2</v>
      </c>
      <c r="X139" s="9" t="s">
        <v>288</v>
      </c>
      <c r="Y139" s="10">
        <v>44978</v>
      </c>
      <c r="Z139" s="13">
        <v>0.1313</v>
      </c>
      <c r="AB139" t="b">
        <v>0</v>
      </c>
      <c r="AC139" s="9" t="s">
        <v>289</v>
      </c>
      <c r="AD139" s="9" t="s">
        <v>290</v>
      </c>
      <c r="AE139" s="8">
        <v>1342.643</v>
      </c>
      <c r="AF139" s="14">
        <v>43.788490000000003</v>
      </c>
      <c r="AG139" s="14">
        <v>-0.70369000000000004</v>
      </c>
      <c r="AH139" s="9" t="s">
        <v>483</v>
      </c>
      <c r="AI139" s="15" t="s">
        <v>319</v>
      </c>
      <c r="AJ139" s="9" t="s">
        <v>293</v>
      </c>
      <c r="AK139" s="9" t="s">
        <v>1885</v>
      </c>
      <c r="AL139" s="9" t="s">
        <v>1886</v>
      </c>
      <c r="AM139" s="9"/>
      <c r="AN139" s="9" t="s">
        <v>1887</v>
      </c>
      <c r="AO139" s="9"/>
      <c r="AP139" s="9" t="s">
        <v>293</v>
      </c>
      <c r="AQ139" s="9" t="s">
        <v>293</v>
      </c>
      <c r="AR139" t="b">
        <v>0</v>
      </c>
      <c r="AS139" s="10"/>
      <c r="AT139" s="10" t="s">
        <v>299</v>
      </c>
      <c r="AU139" s="9"/>
      <c r="AV139" t="b">
        <v>0</v>
      </c>
      <c r="AW139" s="12"/>
      <c r="AX139" s="11"/>
      <c r="AY139" s="9"/>
      <c r="AZ139" t="b">
        <v>0</v>
      </c>
      <c r="BA139" s="9"/>
      <c r="BB139" s="12"/>
      <c r="BC139" s="11"/>
      <c r="BD139" s="9" t="s">
        <v>325</v>
      </c>
      <c r="BE139" s="9" t="s">
        <v>47</v>
      </c>
      <c r="BF139" s="9" t="s">
        <v>373</v>
      </c>
      <c r="BG139" s="9" t="s">
        <v>749</v>
      </c>
      <c r="BH139" s="9" t="s">
        <v>304</v>
      </c>
      <c r="BI139" s="9" t="s">
        <v>1267</v>
      </c>
      <c r="BJ139" s="9" t="s">
        <v>1268</v>
      </c>
      <c r="BK139" s="11">
        <v>856</v>
      </c>
      <c r="BL139" s="16">
        <v>173.9889</v>
      </c>
      <c r="BM139" s="10">
        <v>45742</v>
      </c>
      <c r="BN139" s="10">
        <v>45791</v>
      </c>
      <c r="BO139" s="10"/>
      <c r="BP139" s="16"/>
      <c r="BQ139" s="16"/>
      <c r="BR139" s="9"/>
      <c r="BS139" s="9"/>
      <c r="BT139" s="9"/>
      <c r="BU139" s="9"/>
      <c r="BV139" s="9"/>
      <c r="BW139" s="10"/>
      <c r="BX139" s="15" t="s">
        <v>1888</v>
      </c>
      <c r="BY139" s="10"/>
      <c r="BZ139" s="10"/>
      <c r="CA139" s="10"/>
      <c r="CB139" t="b">
        <v>0</v>
      </c>
      <c r="CC139" s="9" t="s">
        <v>308</v>
      </c>
      <c r="CD139" s="9" t="s">
        <v>309</v>
      </c>
    </row>
    <row r="140" spans="1:82">
      <c r="A140" s="8">
        <v>89088</v>
      </c>
      <c r="B140" s="9" t="s">
        <v>1878</v>
      </c>
      <c r="C140" s="9" t="s">
        <v>1257</v>
      </c>
      <c r="D140" s="10">
        <v>45726</v>
      </c>
      <c r="E140" s="9" t="s">
        <v>1879</v>
      </c>
      <c r="F140" s="9" t="s">
        <v>1880</v>
      </c>
      <c r="G140" s="9" t="s">
        <v>1881</v>
      </c>
      <c r="H140" s="9" t="s">
        <v>281</v>
      </c>
      <c r="I140" s="9" t="s">
        <v>282</v>
      </c>
      <c r="J140" s="9" t="s">
        <v>719</v>
      </c>
      <c r="K140" s="9" t="s">
        <v>284</v>
      </c>
      <c r="L140" s="9" t="s">
        <v>1889</v>
      </c>
      <c r="M140" s="9" t="s">
        <v>1890</v>
      </c>
      <c r="N140" s="8">
        <v>1</v>
      </c>
      <c r="O140" s="9" t="s">
        <v>1891</v>
      </c>
      <c r="P140" s="11">
        <v>202.96</v>
      </c>
      <c r="Q140" s="11">
        <v>165</v>
      </c>
      <c r="R140" s="11">
        <v>162</v>
      </c>
      <c r="S140" s="11">
        <v>1154</v>
      </c>
      <c r="T140" s="11">
        <v>234215.84</v>
      </c>
      <c r="U140" s="12">
        <v>5.3999999999999999E-2</v>
      </c>
      <c r="V140" s="12">
        <v>0.85399999999999998</v>
      </c>
      <c r="W140" s="11">
        <v>1115.2</v>
      </c>
      <c r="X140" s="9" t="s">
        <v>288</v>
      </c>
      <c r="Y140" s="10">
        <v>44978</v>
      </c>
      <c r="Z140" s="13">
        <v>0.1313</v>
      </c>
      <c r="AB140" t="b">
        <v>0</v>
      </c>
      <c r="AC140" s="9" t="s">
        <v>289</v>
      </c>
      <c r="AD140" s="9" t="s">
        <v>290</v>
      </c>
      <c r="AE140" s="8">
        <v>918.44600000000003</v>
      </c>
      <c r="AF140" s="14">
        <v>43.789268</v>
      </c>
      <c r="AG140" s="14">
        <v>-0.70355900000000005</v>
      </c>
      <c r="AH140" s="9" t="s">
        <v>483</v>
      </c>
      <c r="AI140" s="15" t="s">
        <v>319</v>
      </c>
      <c r="AJ140" s="9" t="s">
        <v>293</v>
      </c>
      <c r="AK140" s="9" t="s">
        <v>1885</v>
      </c>
      <c r="AL140" s="9" t="s">
        <v>1886</v>
      </c>
      <c r="AM140" s="9"/>
      <c r="AN140" s="9" t="s">
        <v>1887</v>
      </c>
      <c r="AO140" s="9"/>
      <c r="AP140" s="9" t="s">
        <v>293</v>
      </c>
      <c r="AQ140" s="9" t="s">
        <v>293</v>
      </c>
      <c r="AR140" t="b">
        <v>0</v>
      </c>
      <c r="AS140" s="10"/>
      <c r="AT140" s="10" t="s">
        <v>299</v>
      </c>
      <c r="AU140" s="9"/>
      <c r="AV140" t="b">
        <v>0</v>
      </c>
      <c r="AW140" s="12"/>
      <c r="AX140" s="11"/>
      <c r="AY140" s="9"/>
      <c r="AZ140" t="b">
        <v>0</v>
      </c>
      <c r="BA140" s="9"/>
      <c r="BB140" s="12"/>
      <c r="BC140" s="11"/>
      <c r="BD140" s="9" t="s">
        <v>325</v>
      </c>
      <c r="BE140" s="9" t="s">
        <v>47</v>
      </c>
      <c r="BF140" s="9" t="s">
        <v>373</v>
      </c>
      <c r="BG140" s="9" t="s">
        <v>749</v>
      </c>
      <c r="BH140" s="9" t="s">
        <v>304</v>
      </c>
      <c r="BI140" s="9" t="s">
        <v>1267</v>
      </c>
      <c r="BJ140" s="9" t="s">
        <v>1268</v>
      </c>
      <c r="BK140" s="11">
        <v>856</v>
      </c>
      <c r="BL140" s="16">
        <v>139.58632</v>
      </c>
      <c r="BM140" s="10">
        <v>45742</v>
      </c>
      <c r="BN140" s="10">
        <v>45791</v>
      </c>
      <c r="BO140" s="10"/>
      <c r="BP140" s="16"/>
      <c r="BQ140" s="16"/>
      <c r="BR140" s="9"/>
      <c r="BS140" s="9"/>
      <c r="BT140" s="9"/>
      <c r="BU140" s="9"/>
      <c r="BV140" s="9"/>
      <c r="BW140" s="10"/>
      <c r="BX140" s="15" t="s">
        <v>1551</v>
      </c>
      <c r="BY140" s="10"/>
      <c r="BZ140" s="10"/>
      <c r="CA140" s="10"/>
      <c r="CB140" t="b">
        <v>0</v>
      </c>
      <c r="CC140" s="9" t="s">
        <v>308</v>
      </c>
      <c r="CD140" s="9" t="s">
        <v>309</v>
      </c>
    </row>
    <row r="141" spans="1:82">
      <c r="A141" s="8">
        <v>94322</v>
      </c>
      <c r="B141" s="9" t="s">
        <v>1892</v>
      </c>
      <c r="C141" s="9" t="s">
        <v>277</v>
      </c>
      <c r="D141" s="10">
        <v>45723</v>
      </c>
      <c r="E141" s="9" t="s">
        <v>1893</v>
      </c>
      <c r="F141" s="9" t="s">
        <v>1894</v>
      </c>
      <c r="G141" s="9" t="s">
        <v>1895</v>
      </c>
      <c r="H141" s="9" t="s">
        <v>281</v>
      </c>
      <c r="I141" s="9" t="s">
        <v>282</v>
      </c>
      <c r="J141" s="9" t="s">
        <v>283</v>
      </c>
      <c r="K141" s="9" t="s">
        <v>284</v>
      </c>
      <c r="L141" s="9" t="s">
        <v>1896</v>
      </c>
      <c r="M141" s="9" t="s">
        <v>1897</v>
      </c>
      <c r="N141" s="8">
        <v>1</v>
      </c>
      <c r="O141" s="9" t="s">
        <v>1898</v>
      </c>
      <c r="P141" s="11">
        <v>331.24</v>
      </c>
      <c r="Q141" s="11">
        <v>250</v>
      </c>
      <c r="R141" s="11">
        <v>249</v>
      </c>
      <c r="S141" s="11">
        <v>1226</v>
      </c>
      <c r="T141" s="11">
        <v>406100.24</v>
      </c>
      <c r="U141" s="12">
        <v>5.3999999999999999E-2</v>
      </c>
      <c r="V141" s="12">
        <v>0.87460000000000004</v>
      </c>
      <c r="W141" s="11">
        <v>1225.3610000000001</v>
      </c>
      <c r="X141" s="9" t="s">
        <v>288</v>
      </c>
      <c r="Y141" s="10">
        <v>45230</v>
      </c>
      <c r="Z141" s="13">
        <v>0.12740000000000001</v>
      </c>
      <c r="AA141" t="b">
        <v>1</v>
      </c>
      <c r="AB141" t="b">
        <v>0</v>
      </c>
      <c r="AC141" s="9" t="s">
        <v>289</v>
      </c>
      <c r="AD141" s="9" t="s">
        <v>290</v>
      </c>
      <c r="AE141" s="8">
        <v>1454.62</v>
      </c>
      <c r="AF141" s="14">
        <v>44.433630000000001</v>
      </c>
      <c r="AG141" s="14">
        <v>2.8613200000000001</v>
      </c>
      <c r="AH141" s="9" t="s">
        <v>291</v>
      </c>
      <c r="AI141" s="15" t="s">
        <v>319</v>
      </c>
      <c r="AJ141" s="9" t="s">
        <v>293</v>
      </c>
      <c r="AK141" s="9" t="s">
        <v>1899</v>
      </c>
      <c r="AL141" s="9" t="s">
        <v>1900</v>
      </c>
      <c r="AM141" s="9"/>
      <c r="AN141" s="9" t="s">
        <v>1901</v>
      </c>
      <c r="AO141" s="9"/>
      <c r="AP141" s="9" t="s">
        <v>469</v>
      </c>
      <c r="AQ141" s="9" t="s">
        <v>298</v>
      </c>
      <c r="AR141" t="b">
        <v>0</v>
      </c>
      <c r="AS141" s="10"/>
      <c r="AT141" s="10" t="s">
        <v>299</v>
      </c>
      <c r="AU141" s="9"/>
      <c r="AV141" t="b">
        <v>0</v>
      </c>
      <c r="AW141" s="12"/>
      <c r="AX141" s="11"/>
      <c r="AY141" s="9"/>
      <c r="AZ141" t="b">
        <v>0</v>
      </c>
      <c r="BA141" s="9"/>
      <c r="BB141" s="12"/>
      <c r="BC141" s="11"/>
      <c r="BD141" s="9" t="s">
        <v>325</v>
      </c>
      <c r="BE141" s="9" t="s">
        <v>301</v>
      </c>
      <c r="BF141" s="9" t="s">
        <v>702</v>
      </c>
      <c r="BG141" s="9" t="s">
        <v>416</v>
      </c>
      <c r="BH141" s="9" t="s">
        <v>304</v>
      </c>
      <c r="BI141" s="9" t="s">
        <v>305</v>
      </c>
      <c r="BJ141" s="9" t="s">
        <v>306</v>
      </c>
      <c r="BK141" s="11">
        <v>856</v>
      </c>
      <c r="BL141" s="16">
        <v>192.96508</v>
      </c>
      <c r="BM141" s="10">
        <v>45742</v>
      </c>
      <c r="BN141" s="10">
        <v>45854</v>
      </c>
      <c r="BO141" s="10"/>
      <c r="BP141" s="16"/>
      <c r="BQ141" s="16"/>
      <c r="BR141" s="9" t="s">
        <v>1902</v>
      </c>
      <c r="BS141" s="9" t="s">
        <v>1903</v>
      </c>
      <c r="BT141" s="9" t="s">
        <v>1904</v>
      </c>
      <c r="BU141" s="9" t="s">
        <v>1894</v>
      </c>
      <c r="BV141" s="9"/>
      <c r="BW141" s="10"/>
      <c r="BX141" s="15" t="s">
        <v>1070</v>
      </c>
      <c r="BY141" s="10"/>
      <c r="BZ141" s="10"/>
      <c r="CA141" s="10"/>
      <c r="CB141" t="b">
        <v>0</v>
      </c>
      <c r="CC141" s="9" t="s">
        <v>308</v>
      </c>
      <c r="CD141" s="9" t="s">
        <v>309</v>
      </c>
    </row>
    <row r="142" spans="1:82">
      <c r="A142" s="8">
        <v>35894</v>
      </c>
      <c r="B142" s="9" t="s">
        <v>1905</v>
      </c>
      <c r="C142" s="9" t="s">
        <v>932</v>
      </c>
      <c r="D142" s="10">
        <v>45722</v>
      </c>
      <c r="E142" s="9" t="s">
        <v>1906</v>
      </c>
      <c r="F142" s="9" t="s">
        <v>1907</v>
      </c>
      <c r="G142" s="9" t="s">
        <v>1908</v>
      </c>
      <c r="H142" s="9" t="s">
        <v>281</v>
      </c>
      <c r="I142" s="9" t="s">
        <v>282</v>
      </c>
      <c r="J142" s="9" t="s">
        <v>283</v>
      </c>
      <c r="K142" s="9" t="s">
        <v>284</v>
      </c>
      <c r="L142" s="9" t="s">
        <v>1909</v>
      </c>
      <c r="M142" s="9" t="s">
        <v>1910</v>
      </c>
      <c r="N142" s="8">
        <v>1</v>
      </c>
      <c r="O142" s="9" t="s">
        <v>1911</v>
      </c>
      <c r="P142" s="11">
        <v>331.7</v>
      </c>
      <c r="Q142" s="11">
        <v>250</v>
      </c>
      <c r="R142" s="11">
        <v>250</v>
      </c>
      <c r="S142" s="11">
        <v>1053</v>
      </c>
      <c r="T142" s="11">
        <v>349280.1</v>
      </c>
      <c r="U142" s="12">
        <v>5.3999999999999999E-2</v>
      </c>
      <c r="V142" s="12">
        <v>0.84499999999999997</v>
      </c>
      <c r="W142" s="11">
        <v>1021.5</v>
      </c>
      <c r="X142" s="9" t="s">
        <v>288</v>
      </c>
      <c r="Y142" s="10">
        <v>45118</v>
      </c>
      <c r="Z142" s="13">
        <v>0.12740000000000001</v>
      </c>
      <c r="AB142" t="b">
        <v>0</v>
      </c>
      <c r="AC142" s="9" t="s">
        <v>289</v>
      </c>
      <c r="AD142" s="9" t="s">
        <v>290</v>
      </c>
      <c r="AE142" s="8">
        <v>1456.62</v>
      </c>
      <c r="AF142" s="14">
        <v>48.127490000000002</v>
      </c>
      <c r="AG142" s="14">
        <v>0.24987000000000001</v>
      </c>
      <c r="AH142" s="9" t="s">
        <v>483</v>
      </c>
      <c r="AI142" s="15" t="s">
        <v>396</v>
      </c>
      <c r="AJ142" s="9" t="s">
        <v>293</v>
      </c>
      <c r="AK142" s="9" t="s">
        <v>1912</v>
      </c>
      <c r="AL142" s="9" t="s">
        <v>1913</v>
      </c>
      <c r="AM142" s="9"/>
      <c r="AN142" s="9" t="s">
        <v>1914</v>
      </c>
      <c r="AO142" s="9" t="s">
        <v>1915</v>
      </c>
      <c r="AP142" s="9" t="s">
        <v>113</v>
      </c>
      <c r="AQ142" s="9" t="s">
        <v>355</v>
      </c>
      <c r="AR142" t="b">
        <v>0</v>
      </c>
      <c r="AS142" s="10"/>
      <c r="AT142" s="10" t="s">
        <v>299</v>
      </c>
      <c r="AU142" s="9"/>
      <c r="AV142" t="b">
        <v>0</v>
      </c>
      <c r="AW142" s="12"/>
      <c r="AX142" s="11"/>
      <c r="AY142" s="9"/>
      <c r="AZ142" t="b">
        <v>0</v>
      </c>
      <c r="BA142" s="9"/>
      <c r="BB142" s="12"/>
      <c r="BC142" s="11"/>
      <c r="BD142" s="9" t="s">
        <v>300</v>
      </c>
      <c r="BE142" s="9" t="s">
        <v>301</v>
      </c>
      <c r="BF142" s="9" t="s">
        <v>402</v>
      </c>
      <c r="BG142" s="9" t="s">
        <v>529</v>
      </c>
      <c r="BH142" s="9" t="s">
        <v>304</v>
      </c>
      <c r="BI142" s="9" t="s">
        <v>943</v>
      </c>
      <c r="BJ142" s="9" t="s">
        <v>944</v>
      </c>
      <c r="BK142" s="11">
        <v>856</v>
      </c>
      <c r="BL142" s="16">
        <v>186.8339</v>
      </c>
      <c r="BM142" s="10">
        <v>45753</v>
      </c>
      <c r="BN142" s="10">
        <v>45770</v>
      </c>
      <c r="BO142" s="10"/>
      <c r="BP142" s="16"/>
      <c r="BQ142" s="16"/>
      <c r="BR142" s="9"/>
      <c r="BS142" s="9"/>
      <c r="BT142" s="9"/>
      <c r="BU142" s="9"/>
      <c r="BV142" s="9"/>
      <c r="BW142" s="10"/>
      <c r="BX142" s="15" t="s">
        <v>1916</v>
      </c>
      <c r="BY142" s="10"/>
      <c r="BZ142" s="10"/>
      <c r="CA142" s="10"/>
      <c r="CB142" t="b">
        <v>0</v>
      </c>
      <c r="CC142" s="9" t="s">
        <v>308</v>
      </c>
      <c r="CD142" s="9" t="s">
        <v>309</v>
      </c>
    </row>
    <row r="143" spans="1:82">
      <c r="A143" s="8">
        <v>17928</v>
      </c>
      <c r="B143" s="9" t="s">
        <v>1917</v>
      </c>
      <c r="C143" s="9" t="s">
        <v>932</v>
      </c>
      <c r="D143" s="10">
        <v>45722</v>
      </c>
      <c r="E143" s="9" t="s">
        <v>1918</v>
      </c>
      <c r="F143" s="9" t="s">
        <v>1919</v>
      </c>
      <c r="G143" s="9" t="s">
        <v>1920</v>
      </c>
      <c r="H143" s="9" t="s">
        <v>281</v>
      </c>
      <c r="I143" s="9" t="s">
        <v>282</v>
      </c>
      <c r="J143" s="9" t="s">
        <v>283</v>
      </c>
      <c r="K143" s="9" t="s">
        <v>284</v>
      </c>
      <c r="L143" s="9" t="s">
        <v>1921</v>
      </c>
      <c r="M143" s="9" t="s">
        <v>1922</v>
      </c>
      <c r="N143" s="8">
        <v>1</v>
      </c>
      <c r="O143" s="9" t="s">
        <v>1923</v>
      </c>
      <c r="P143" s="11">
        <v>214.02</v>
      </c>
      <c r="Q143" s="11">
        <v>220</v>
      </c>
      <c r="R143" s="11">
        <v>191.7</v>
      </c>
      <c r="S143" s="11">
        <v>1294</v>
      </c>
      <c r="T143" s="11">
        <v>276941.88</v>
      </c>
      <c r="U143" s="12">
        <v>5.3999999999999999E-2</v>
      </c>
      <c r="V143" s="12">
        <v>0.86799999999999999</v>
      </c>
      <c r="W143" s="11">
        <v>1266.7</v>
      </c>
      <c r="X143" s="9" t="s">
        <v>288</v>
      </c>
      <c r="Y143" s="10">
        <v>44938</v>
      </c>
      <c r="Z143" s="13">
        <v>0.13109999999999999</v>
      </c>
      <c r="AB143" t="b">
        <v>0</v>
      </c>
      <c r="AC143" s="9" t="s">
        <v>289</v>
      </c>
      <c r="AD143" s="9" t="s">
        <v>290</v>
      </c>
      <c r="AE143" s="8">
        <v>1019.3339999999999</v>
      </c>
      <c r="AF143" s="14">
        <v>45.589861999999997</v>
      </c>
      <c r="AG143" s="14">
        <v>2.4019089999999998</v>
      </c>
      <c r="AH143" s="9" t="s">
        <v>483</v>
      </c>
      <c r="AI143" s="15" t="s">
        <v>1591</v>
      </c>
      <c r="AJ143" s="9" t="s">
        <v>293</v>
      </c>
      <c r="AK143" s="9" t="s">
        <v>1924</v>
      </c>
      <c r="AL143" s="9" t="s">
        <v>1925</v>
      </c>
      <c r="AM143" s="9"/>
      <c r="AN143" s="9" t="s">
        <v>1926</v>
      </c>
      <c r="AO143" s="9"/>
      <c r="AP143" s="9" t="s">
        <v>1927</v>
      </c>
      <c r="AQ143" s="9" t="s">
        <v>298</v>
      </c>
      <c r="AR143" t="b">
        <v>0</v>
      </c>
      <c r="AS143" s="10"/>
      <c r="AT143" s="10" t="s">
        <v>299</v>
      </c>
      <c r="AU143" s="9"/>
      <c r="AV143" t="b">
        <v>0</v>
      </c>
      <c r="AW143" s="12"/>
      <c r="AX143" s="11"/>
      <c r="AY143" s="9"/>
      <c r="AZ143" t="b">
        <v>0</v>
      </c>
      <c r="BA143" s="9"/>
      <c r="BB143" s="12"/>
      <c r="BC143" s="11"/>
      <c r="BD143" s="9" t="s">
        <v>325</v>
      </c>
      <c r="BE143" s="9" t="s">
        <v>301</v>
      </c>
      <c r="BF143" s="9" t="s">
        <v>702</v>
      </c>
      <c r="BG143" s="9" t="s">
        <v>749</v>
      </c>
      <c r="BH143" s="9" t="s">
        <v>304</v>
      </c>
      <c r="BI143" s="9" t="s">
        <v>943</v>
      </c>
      <c r="BJ143" s="9" t="s">
        <v>944</v>
      </c>
      <c r="BK143" s="11">
        <v>856</v>
      </c>
      <c r="BL143" s="16">
        <v>143.64534</v>
      </c>
      <c r="BM143" s="10">
        <v>45788</v>
      </c>
      <c r="BN143" s="10">
        <v>45820</v>
      </c>
      <c r="BO143" s="10"/>
      <c r="BP143" s="16"/>
      <c r="BQ143" s="16"/>
      <c r="BR143" s="9"/>
      <c r="BS143" s="9"/>
      <c r="BT143" s="9"/>
      <c r="BU143" s="9"/>
      <c r="BV143" s="9"/>
      <c r="BW143" s="10"/>
      <c r="BX143" s="15" t="s">
        <v>458</v>
      </c>
      <c r="BY143" s="10"/>
      <c r="BZ143" s="10"/>
      <c r="CA143" s="10"/>
      <c r="CB143" t="b">
        <v>0</v>
      </c>
      <c r="CC143" s="9" t="s">
        <v>308</v>
      </c>
      <c r="CD143" s="9" t="s">
        <v>309</v>
      </c>
    </row>
    <row r="144" spans="1:82" ht="29.1">
      <c r="A144" s="8">
        <v>95687</v>
      </c>
      <c r="B144" s="9" t="s">
        <v>1660</v>
      </c>
      <c r="C144" s="9" t="s">
        <v>1204</v>
      </c>
      <c r="D144" s="10">
        <v>45722</v>
      </c>
      <c r="E144" s="9" t="s">
        <v>1661</v>
      </c>
      <c r="F144" s="9" t="s">
        <v>1386</v>
      </c>
      <c r="G144" s="9" t="s">
        <v>1662</v>
      </c>
      <c r="H144" s="9" t="s">
        <v>315</v>
      </c>
      <c r="I144" s="9" t="s">
        <v>282</v>
      </c>
      <c r="J144" s="9" t="s">
        <v>283</v>
      </c>
      <c r="K144" s="9" t="s">
        <v>284</v>
      </c>
      <c r="L144" s="9" t="s">
        <v>1928</v>
      </c>
      <c r="M144" s="9" t="s">
        <v>1929</v>
      </c>
      <c r="N144" s="8">
        <v>2</v>
      </c>
      <c r="O144" s="9" t="s">
        <v>1930</v>
      </c>
      <c r="P144" s="11">
        <v>499.95</v>
      </c>
      <c r="Q144" s="11">
        <v>440</v>
      </c>
      <c r="R144" s="11">
        <v>417</v>
      </c>
      <c r="S144" s="11">
        <v>1221.4960000000001</v>
      </c>
      <c r="T144" s="11">
        <v>610686.92520000006</v>
      </c>
      <c r="U144" s="12">
        <v>5.3999999999999999E-2</v>
      </c>
      <c r="V144" s="12">
        <v>0.86399999999999999</v>
      </c>
      <c r="W144" s="11">
        <v>1187.7</v>
      </c>
      <c r="X144" s="9" t="s">
        <v>288</v>
      </c>
      <c r="Y144" s="10">
        <v>44979</v>
      </c>
      <c r="Z144" s="13">
        <v>0.13120000000000001</v>
      </c>
      <c r="AB144" t="b">
        <v>0</v>
      </c>
      <c r="AC144" s="9" t="s">
        <v>289</v>
      </c>
      <c r="AD144" s="9" t="s">
        <v>290</v>
      </c>
      <c r="AE144" s="8">
        <v>2219.8980000000001</v>
      </c>
      <c r="AF144" s="14">
        <v>46.080210000000001</v>
      </c>
      <c r="AG144" s="14">
        <v>1.6924300000000001</v>
      </c>
      <c r="AH144" s="9" t="s">
        <v>483</v>
      </c>
      <c r="AI144" s="15" t="s">
        <v>1931</v>
      </c>
      <c r="AJ144" s="9" t="s">
        <v>293</v>
      </c>
      <c r="AK144" s="9" t="s">
        <v>1666</v>
      </c>
      <c r="AL144" s="9" t="s">
        <v>1667</v>
      </c>
      <c r="AM144" s="9"/>
      <c r="AN144" s="9" t="s">
        <v>1668</v>
      </c>
      <c r="AO144" s="9"/>
      <c r="AP144" s="9" t="s">
        <v>108</v>
      </c>
      <c r="AQ144" s="9" t="s">
        <v>298</v>
      </c>
      <c r="AR144" t="b">
        <v>1</v>
      </c>
      <c r="AS144" s="10">
        <v>46022</v>
      </c>
      <c r="AT144" s="10">
        <v>46022</v>
      </c>
      <c r="AU144" s="9" t="s">
        <v>1139</v>
      </c>
      <c r="AV144" t="b">
        <v>0</v>
      </c>
      <c r="AW144" s="12"/>
      <c r="AX144" s="11">
        <v>100</v>
      </c>
      <c r="AY144" s="9" t="s">
        <v>471</v>
      </c>
      <c r="AZ144" t="b">
        <v>1</v>
      </c>
      <c r="BA144" s="9" t="s">
        <v>472</v>
      </c>
      <c r="BB144" s="12"/>
      <c r="BC144" s="11">
        <v>100</v>
      </c>
      <c r="BD144" s="9" t="s">
        <v>300</v>
      </c>
      <c r="BE144" s="9" t="s">
        <v>86</v>
      </c>
      <c r="BF144" s="9" t="s">
        <v>402</v>
      </c>
      <c r="BG144" s="9" t="s">
        <v>529</v>
      </c>
      <c r="BH144" s="9" t="s">
        <v>304</v>
      </c>
      <c r="BI144" s="9" t="s">
        <v>1213</v>
      </c>
      <c r="BJ144" s="9" t="s">
        <v>1214</v>
      </c>
      <c r="BK144" s="11">
        <v>856</v>
      </c>
      <c r="BL144" s="16">
        <v>248.58165</v>
      </c>
      <c r="BM144" s="10">
        <v>45876</v>
      </c>
      <c r="BN144" s="10">
        <v>45929</v>
      </c>
      <c r="BO144" s="10"/>
      <c r="BP144" s="16"/>
      <c r="BQ144" s="16"/>
      <c r="BR144" s="9" t="s">
        <v>1666</v>
      </c>
      <c r="BS144" s="9" t="s">
        <v>1670</v>
      </c>
      <c r="BT144" s="9" t="s">
        <v>1662</v>
      </c>
      <c r="BU144" s="9" t="s">
        <v>1386</v>
      </c>
      <c r="BV144" s="9"/>
      <c r="BW144" s="10"/>
      <c r="BX144" s="15" t="s">
        <v>1932</v>
      </c>
      <c r="BY144" s="10"/>
      <c r="BZ144" s="10"/>
      <c r="CA144" s="10"/>
      <c r="CB144" t="b">
        <v>0</v>
      </c>
      <c r="CC144" s="9" t="s">
        <v>308</v>
      </c>
      <c r="CD144" s="9" t="s">
        <v>309</v>
      </c>
    </row>
    <row r="145" spans="1:82">
      <c r="A145" s="8">
        <v>41458</v>
      </c>
      <c r="B145" s="9" t="s">
        <v>1933</v>
      </c>
      <c r="C145" s="9" t="s">
        <v>1204</v>
      </c>
      <c r="D145" s="10">
        <v>45720</v>
      </c>
      <c r="E145" s="9" t="s">
        <v>1934</v>
      </c>
      <c r="F145" s="9" t="s">
        <v>1935</v>
      </c>
      <c r="G145" s="9" t="s">
        <v>1936</v>
      </c>
      <c r="H145" s="9" t="s">
        <v>281</v>
      </c>
      <c r="I145" s="9" t="s">
        <v>282</v>
      </c>
      <c r="J145" s="9" t="s">
        <v>603</v>
      </c>
      <c r="K145" s="9" t="s">
        <v>284</v>
      </c>
      <c r="L145" s="9" t="s">
        <v>1937</v>
      </c>
      <c r="M145" s="9" t="s">
        <v>1938</v>
      </c>
      <c r="N145" s="8">
        <v>1</v>
      </c>
      <c r="O145" s="9" t="s">
        <v>1939</v>
      </c>
      <c r="P145" s="11">
        <v>337.61</v>
      </c>
      <c r="Q145" s="11">
        <v>250</v>
      </c>
      <c r="R145" s="11">
        <v>250</v>
      </c>
      <c r="S145" s="11">
        <v>1187</v>
      </c>
      <c r="T145" s="11">
        <v>400743.07</v>
      </c>
      <c r="U145" s="12">
        <v>5.3999999999999999E-2</v>
      </c>
      <c r="V145" s="12">
        <v>0.86399999999999999</v>
      </c>
      <c r="W145" s="11">
        <v>1163.5</v>
      </c>
      <c r="X145" s="9" t="s">
        <v>288</v>
      </c>
      <c r="Y145" s="10">
        <v>44992</v>
      </c>
      <c r="Z145" s="13">
        <v>0.13120000000000001</v>
      </c>
      <c r="AB145" t="b">
        <v>0</v>
      </c>
      <c r="AC145" s="9" t="s">
        <v>289</v>
      </c>
      <c r="AD145" s="9" t="s">
        <v>290</v>
      </c>
      <c r="AE145" s="8">
        <v>1482.6</v>
      </c>
      <c r="AF145" s="14">
        <v>47.215440000000001</v>
      </c>
      <c r="AG145" s="14">
        <v>-1.30467</v>
      </c>
      <c r="AH145" s="9" t="s">
        <v>483</v>
      </c>
      <c r="AI145" s="15" t="s">
        <v>396</v>
      </c>
      <c r="AJ145" s="9" t="s">
        <v>293</v>
      </c>
      <c r="AK145" s="9" t="s">
        <v>1940</v>
      </c>
      <c r="AL145" s="9" t="s">
        <v>1941</v>
      </c>
      <c r="AM145" s="9"/>
      <c r="AN145" s="9" t="s">
        <v>1942</v>
      </c>
      <c r="AO145" s="9"/>
      <c r="AP145" s="9" t="s">
        <v>113</v>
      </c>
      <c r="AQ145" s="9" t="s">
        <v>298</v>
      </c>
      <c r="AR145" t="b">
        <v>0</v>
      </c>
      <c r="AS145" s="10"/>
      <c r="AT145" s="10" t="s">
        <v>299</v>
      </c>
      <c r="AU145" s="9"/>
      <c r="AV145" t="b">
        <v>0</v>
      </c>
      <c r="AW145" s="12"/>
      <c r="AX145" s="11"/>
      <c r="AY145" s="9"/>
      <c r="AZ145" t="b">
        <v>0</v>
      </c>
      <c r="BA145" s="9"/>
      <c r="BB145" s="12"/>
      <c r="BC145" s="11"/>
      <c r="BD145" s="9" t="s">
        <v>300</v>
      </c>
      <c r="BE145" s="9" t="s">
        <v>86</v>
      </c>
      <c r="BF145" s="9" t="s">
        <v>402</v>
      </c>
      <c r="BG145" s="9" t="s">
        <v>529</v>
      </c>
      <c r="BH145" s="9" t="s">
        <v>304</v>
      </c>
      <c r="BI145" s="9" t="s">
        <v>1213</v>
      </c>
      <c r="BJ145" s="9" t="s">
        <v>1214</v>
      </c>
      <c r="BK145" s="11">
        <v>856</v>
      </c>
      <c r="BL145" s="16">
        <v>189.00287</v>
      </c>
      <c r="BM145" s="10">
        <v>45736</v>
      </c>
      <c r="BN145" s="10">
        <v>45793</v>
      </c>
      <c r="BO145" s="10"/>
      <c r="BP145" s="16"/>
      <c r="BQ145" s="16"/>
      <c r="BR145" s="9"/>
      <c r="BS145" s="9"/>
      <c r="BT145" s="9"/>
      <c r="BU145" s="9"/>
      <c r="BV145" s="9"/>
      <c r="BW145" s="10"/>
      <c r="BX145" s="15" t="s">
        <v>1943</v>
      </c>
      <c r="BY145" s="10"/>
      <c r="BZ145" s="10"/>
      <c r="CA145" s="10"/>
      <c r="CB145" t="b">
        <v>0</v>
      </c>
      <c r="CC145" s="9" t="s">
        <v>308</v>
      </c>
      <c r="CD145" s="9" t="s">
        <v>309</v>
      </c>
    </row>
    <row r="146" spans="1:82" ht="43.5">
      <c r="A146" s="8">
        <v>79139</v>
      </c>
      <c r="B146" s="9" t="s">
        <v>1944</v>
      </c>
      <c r="C146" s="9" t="s">
        <v>1257</v>
      </c>
      <c r="D146" s="10">
        <v>45715</v>
      </c>
      <c r="E146" s="9" t="s">
        <v>1945</v>
      </c>
      <c r="F146" s="9" t="s">
        <v>1946</v>
      </c>
      <c r="G146" s="9" t="s">
        <v>1947</v>
      </c>
      <c r="H146" s="9" t="s">
        <v>281</v>
      </c>
      <c r="I146" s="9" t="s">
        <v>282</v>
      </c>
      <c r="J146" s="9" t="s">
        <v>283</v>
      </c>
      <c r="K146" s="9" t="s">
        <v>284</v>
      </c>
      <c r="L146" s="9" t="s">
        <v>1948</v>
      </c>
      <c r="M146" s="9" t="s">
        <v>1949</v>
      </c>
      <c r="N146" s="8">
        <v>2</v>
      </c>
      <c r="O146" s="9" t="s">
        <v>1950</v>
      </c>
      <c r="P146" s="11">
        <v>499.59</v>
      </c>
      <c r="Q146" s="11">
        <v>220</v>
      </c>
      <c r="R146" s="11">
        <v>201.7</v>
      </c>
      <c r="S146" s="11">
        <v>1180.5</v>
      </c>
      <c r="T146" s="11">
        <v>589765.995</v>
      </c>
      <c r="U146" s="12">
        <v>5.3999999999999999E-2</v>
      </c>
      <c r="V146" s="12">
        <v>0.86599999999999999</v>
      </c>
      <c r="W146" s="11">
        <v>1110.4000000000001</v>
      </c>
      <c r="X146" s="9" t="s">
        <v>288</v>
      </c>
      <c r="Y146" s="10">
        <v>44985</v>
      </c>
      <c r="Z146" s="13">
        <v>0.1313</v>
      </c>
      <c r="AB146" t="b">
        <v>0</v>
      </c>
      <c r="AC146" s="9" t="s">
        <v>289</v>
      </c>
      <c r="AD146" s="9" t="s">
        <v>290</v>
      </c>
      <c r="AE146" s="8">
        <v>2193.92</v>
      </c>
      <c r="AF146" s="14">
        <v>45.925159999999998</v>
      </c>
      <c r="AG146" s="14">
        <v>4.32517</v>
      </c>
      <c r="AH146" s="9" t="s">
        <v>483</v>
      </c>
      <c r="AI146" s="15" t="s">
        <v>1951</v>
      </c>
      <c r="AJ146" s="9" t="s">
        <v>293</v>
      </c>
      <c r="AK146" s="9" t="s">
        <v>1952</v>
      </c>
      <c r="AL146" s="9" t="s">
        <v>1953</v>
      </c>
      <c r="AM146" s="9"/>
      <c r="AN146" s="9" t="s">
        <v>1954</v>
      </c>
      <c r="AO146" s="9" t="s">
        <v>1955</v>
      </c>
      <c r="AP146" s="9" t="s">
        <v>108</v>
      </c>
      <c r="AQ146" s="9" t="s">
        <v>298</v>
      </c>
      <c r="AR146" t="b">
        <v>0</v>
      </c>
      <c r="AS146" s="10"/>
      <c r="AT146" s="10" t="s">
        <v>299</v>
      </c>
      <c r="AU146" s="9"/>
      <c r="AV146" t="b">
        <v>0</v>
      </c>
      <c r="AW146" s="12"/>
      <c r="AX146" s="11"/>
      <c r="AY146" s="9"/>
      <c r="AZ146" t="b">
        <v>0</v>
      </c>
      <c r="BA146" s="9"/>
      <c r="BB146" s="12"/>
      <c r="BC146" s="11"/>
      <c r="BD146" s="9" t="s">
        <v>300</v>
      </c>
      <c r="BE146" s="9" t="s">
        <v>47</v>
      </c>
      <c r="BF146" s="9" t="s">
        <v>1111</v>
      </c>
      <c r="BG146" s="9" t="s">
        <v>303</v>
      </c>
      <c r="BH146" s="9" t="s">
        <v>304</v>
      </c>
      <c r="BI146" s="9" t="s">
        <v>1267</v>
      </c>
      <c r="BJ146" s="9" t="s">
        <v>1268</v>
      </c>
      <c r="BK146" s="11">
        <v>856</v>
      </c>
      <c r="BL146" s="16">
        <v>248.44953000000001</v>
      </c>
      <c r="BM146" s="10">
        <v>45764</v>
      </c>
      <c r="BN146" s="10">
        <v>45792</v>
      </c>
      <c r="BO146" s="10"/>
      <c r="BP146" s="16"/>
      <c r="BQ146" s="16"/>
      <c r="BR146" s="9"/>
      <c r="BS146" s="9"/>
      <c r="BT146" s="9"/>
      <c r="BU146" s="9"/>
      <c r="BV146" s="9"/>
      <c r="BW146" s="10"/>
      <c r="BX146" s="15" t="s">
        <v>1956</v>
      </c>
      <c r="BY146" s="10"/>
      <c r="BZ146" s="10"/>
      <c r="CA146" s="10"/>
      <c r="CB146" t="b">
        <v>0</v>
      </c>
      <c r="CC146" s="9" t="s">
        <v>308</v>
      </c>
      <c r="CD146" s="9" t="s">
        <v>309</v>
      </c>
    </row>
    <row r="147" spans="1:82">
      <c r="A147" s="8">
        <v>48840</v>
      </c>
      <c r="B147" s="9" t="s">
        <v>1957</v>
      </c>
      <c r="C147" s="9" t="s">
        <v>970</v>
      </c>
      <c r="D147" s="10">
        <v>45715</v>
      </c>
      <c r="E147" s="9" t="s">
        <v>1958</v>
      </c>
      <c r="F147" s="9" t="s">
        <v>1959</v>
      </c>
      <c r="G147" s="9" t="s">
        <v>1960</v>
      </c>
      <c r="H147" s="9" t="s">
        <v>281</v>
      </c>
      <c r="I147" s="9" t="s">
        <v>282</v>
      </c>
      <c r="J147" s="9" t="s">
        <v>283</v>
      </c>
      <c r="K147" s="9" t="s">
        <v>284</v>
      </c>
      <c r="L147" s="9" t="s">
        <v>1961</v>
      </c>
      <c r="M147" s="9" t="s">
        <v>1962</v>
      </c>
      <c r="N147" s="8">
        <v>1</v>
      </c>
      <c r="O147" s="9" t="s">
        <v>1963</v>
      </c>
      <c r="P147" s="11">
        <v>331.24</v>
      </c>
      <c r="Q147" s="11">
        <v>250</v>
      </c>
      <c r="R147" s="11">
        <v>249</v>
      </c>
      <c r="S147" s="11">
        <v>1140</v>
      </c>
      <c r="T147" s="11">
        <v>377613.6</v>
      </c>
      <c r="U147" s="12">
        <v>5.3999999999999999E-2</v>
      </c>
      <c r="V147" s="12">
        <v>0.85599999999999998</v>
      </c>
      <c r="W147" s="11">
        <v>1121.5999999999999</v>
      </c>
      <c r="X147" s="9" t="s">
        <v>288</v>
      </c>
      <c r="Y147" s="10">
        <v>45156</v>
      </c>
      <c r="Z147" s="13">
        <v>0.124</v>
      </c>
      <c r="AB147" t="b">
        <v>0</v>
      </c>
      <c r="AC147" s="9" t="s">
        <v>289</v>
      </c>
      <c r="AD147" s="9" t="s">
        <v>290</v>
      </c>
      <c r="AE147" s="8">
        <v>1454.62</v>
      </c>
      <c r="AF147" s="14">
        <v>45.308534000000002</v>
      </c>
      <c r="AG147" s="14">
        <v>0.106614</v>
      </c>
      <c r="AH147" s="9" t="s">
        <v>483</v>
      </c>
      <c r="AI147" s="15" t="s">
        <v>319</v>
      </c>
      <c r="AJ147" s="9" t="s">
        <v>293</v>
      </c>
      <c r="AK147" s="9" t="s">
        <v>1964</v>
      </c>
      <c r="AL147" s="9" t="s">
        <v>1965</v>
      </c>
      <c r="AM147" s="9"/>
      <c r="AN147" s="9" t="s">
        <v>1966</v>
      </c>
      <c r="AO147" s="9"/>
      <c r="AP147" s="9" t="s">
        <v>371</v>
      </c>
      <c r="AQ147" s="9" t="s">
        <v>298</v>
      </c>
      <c r="AR147" t="b">
        <v>0</v>
      </c>
      <c r="AS147" s="10"/>
      <c r="AT147" s="10" t="s">
        <v>299</v>
      </c>
      <c r="AU147" s="9"/>
      <c r="AV147" t="b">
        <v>0</v>
      </c>
      <c r="AW147" s="12"/>
      <c r="AX147" s="11"/>
      <c r="AY147" s="9"/>
      <c r="AZ147" t="b">
        <v>0</v>
      </c>
      <c r="BA147" s="9"/>
      <c r="BB147" s="12"/>
      <c r="BC147" s="11"/>
      <c r="BD147" s="9" t="s">
        <v>325</v>
      </c>
      <c r="BE147" s="9" t="s">
        <v>301</v>
      </c>
      <c r="BF147" s="9" t="s">
        <v>402</v>
      </c>
      <c r="BG147" s="9" t="s">
        <v>749</v>
      </c>
      <c r="BH147" s="9" t="s">
        <v>304</v>
      </c>
      <c r="BI147" s="9" t="s">
        <v>981</v>
      </c>
      <c r="BJ147" s="9" t="s">
        <v>982</v>
      </c>
      <c r="BK147" s="11">
        <v>856</v>
      </c>
      <c r="BL147" s="16">
        <v>186.66507999999999</v>
      </c>
      <c r="BM147" s="10">
        <v>45731</v>
      </c>
      <c r="BN147" s="10">
        <v>45776</v>
      </c>
      <c r="BO147" s="10"/>
      <c r="BP147" s="16"/>
      <c r="BQ147" s="16"/>
      <c r="BR147" s="9" t="s">
        <v>1967</v>
      </c>
      <c r="BS147" s="9" t="s">
        <v>1968</v>
      </c>
      <c r="BT147" s="9" t="s">
        <v>1969</v>
      </c>
      <c r="BU147" s="9" t="s">
        <v>1959</v>
      </c>
      <c r="BV147" s="9"/>
      <c r="BW147" s="10"/>
      <c r="BX147" s="15" t="s">
        <v>1970</v>
      </c>
      <c r="BY147" s="10"/>
      <c r="BZ147" s="10"/>
      <c r="CA147" s="10"/>
      <c r="CB147" t="b">
        <v>0</v>
      </c>
      <c r="CC147" s="9" t="s">
        <v>308</v>
      </c>
      <c r="CD147" s="9" t="s">
        <v>309</v>
      </c>
    </row>
    <row r="148" spans="1:82" ht="29.1">
      <c r="A148" s="8">
        <v>93087</v>
      </c>
      <c r="B148" s="9" t="s">
        <v>1971</v>
      </c>
      <c r="C148" s="9" t="s">
        <v>1257</v>
      </c>
      <c r="D148" s="10">
        <v>45714</v>
      </c>
      <c r="E148" s="9" t="s">
        <v>1972</v>
      </c>
      <c r="F148" s="9" t="s">
        <v>1973</v>
      </c>
      <c r="G148" s="9" t="s">
        <v>1974</v>
      </c>
      <c r="H148" s="9" t="s">
        <v>315</v>
      </c>
      <c r="I148" s="9" t="s">
        <v>282</v>
      </c>
      <c r="J148" s="9" t="s">
        <v>719</v>
      </c>
      <c r="K148" s="9" t="s">
        <v>284</v>
      </c>
      <c r="L148" s="9" t="s">
        <v>1975</v>
      </c>
      <c r="M148" s="9" t="s">
        <v>1976</v>
      </c>
      <c r="N148" s="8">
        <v>1</v>
      </c>
      <c r="O148" s="9" t="s">
        <v>1977</v>
      </c>
      <c r="P148" s="11">
        <v>270.56</v>
      </c>
      <c r="Q148" s="11">
        <v>220</v>
      </c>
      <c r="R148" s="11">
        <v>249.99</v>
      </c>
      <c r="S148" s="11">
        <v>1166</v>
      </c>
      <c r="T148" s="11">
        <v>315472.96000000002</v>
      </c>
      <c r="U148" s="12">
        <v>5.3999999999999999E-2</v>
      </c>
      <c r="V148" s="12">
        <v>0.85199999999999998</v>
      </c>
      <c r="W148" s="11">
        <v>1144.5999999999999</v>
      </c>
      <c r="X148" s="9" t="s">
        <v>288</v>
      </c>
      <c r="Y148" s="10">
        <v>45006</v>
      </c>
      <c r="Z148" s="13">
        <v>0.1313</v>
      </c>
      <c r="AB148" t="b">
        <v>0</v>
      </c>
      <c r="AC148" s="9" t="s">
        <v>289</v>
      </c>
      <c r="AD148" s="9" t="s">
        <v>290</v>
      </c>
      <c r="AE148" s="8">
        <v>1215</v>
      </c>
      <c r="AF148" s="14">
        <v>44.233440000000002</v>
      </c>
      <c r="AG148" s="14">
        <v>0.68389</v>
      </c>
      <c r="AH148" s="9" t="s">
        <v>483</v>
      </c>
      <c r="AI148" s="15" t="s">
        <v>1978</v>
      </c>
      <c r="AJ148" s="9" t="s">
        <v>293</v>
      </c>
      <c r="AK148" s="9" t="s">
        <v>1979</v>
      </c>
      <c r="AL148" s="9" t="s">
        <v>1980</v>
      </c>
      <c r="AM148" s="9" t="s">
        <v>1981</v>
      </c>
      <c r="AN148" s="9" t="s">
        <v>1982</v>
      </c>
      <c r="AO148" s="9" t="s">
        <v>1983</v>
      </c>
      <c r="AP148" s="9" t="s">
        <v>293</v>
      </c>
      <c r="AQ148" s="9" t="s">
        <v>293</v>
      </c>
      <c r="AR148" t="b">
        <v>0</v>
      </c>
      <c r="AS148" s="10"/>
      <c r="AT148" s="10" t="s">
        <v>299</v>
      </c>
      <c r="AU148" s="9"/>
      <c r="AV148" t="b">
        <v>0</v>
      </c>
      <c r="AW148" s="12"/>
      <c r="AX148" s="11"/>
      <c r="AY148" s="9"/>
      <c r="AZ148" t="b">
        <v>0</v>
      </c>
      <c r="BA148" s="9"/>
      <c r="BB148" s="12"/>
      <c r="BC148" s="11"/>
      <c r="BD148" s="9" t="s">
        <v>325</v>
      </c>
      <c r="BE148" s="9" t="s">
        <v>47</v>
      </c>
      <c r="BF148" s="9" t="s">
        <v>373</v>
      </c>
      <c r="BG148" s="9" t="s">
        <v>749</v>
      </c>
      <c r="BH148" s="9" t="s">
        <v>304</v>
      </c>
      <c r="BI148" s="9" t="s">
        <v>943</v>
      </c>
      <c r="BJ148" s="9" t="s">
        <v>944</v>
      </c>
      <c r="BK148" s="11">
        <v>856</v>
      </c>
      <c r="BL148" s="16">
        <v>164.39552</v>
      </c>
      <c r="BM148" s="10">
        <v>45742</v>
      </c>
      <c r="BN148" s="10">
        <v>45758</v>
      </c>
      <c r="BO148" s="10"/>
      <c r="BP148" s="16"/>
      <c r="BQ148" s="16"/>
      <c r="BR148" s="9"/>
      <c r="BS148" s="9"/>
      <c r="BT148" s="9"/>
      <c r="BU148" s="9"/>
      <c r="BV148" s="9"/>
      <c r="BW148" s="10"/>
      <c r="BX148" s="15" t="s">
        <v>1984</v>
      </c>
      <c r="BY148" s="10"/>
      <c r="BZ148" s="10"/>
      <c r="CA148" s="10"/>
      <c r="CB148" t="b">
        <v>0</v>
      </c>
      <c r="CC148" s="9" t="s">
        <v>308</v>
      </c>
      <c r="CD148" s="9" t="s">
        <v>309</v>
      </c>
    </row>
    <row r="149" spans="1:82">
      <c r="A149" s="8">
        <v>90192</v>
      </c>
      <c r="B149" s="9" t="s">
        <v>276</v>
      </c>
      <c r="C149" s="9" t="s">
        <v>277</v>
      </c>
      <c r="D149" s="10">
        <v>45713</v>
      </c>
      <c r="E149" s="9" t="s">
        <v>1985</v>
      </c>
      <c r="F149" s="9" t="s">
        <v>1986</v>
      </c>
      <c r="G149" s="9" t="s">
        <v>1987</v>
      </c>
      <c r="H149" s="9" t="s">
        <v>281</v>
      </c>
      <c r="I149" s="9" t="s">
        <v>282</v>
      </c>
      <c r="J149" s="9" t="s">
        <v>283</v>
      </c>
      <c r="K149" s="9" t="s">
        <v>284</v>
      </c>
      <c r="L149" s="9" t="s">
        <v>1988</v>
      </c>
      <c r="M149" s="9" t="s">
        <v>1989</v>
      </c>
      <c r="N149" s="8">
        <v>1</v>
      </c>
      <c r="O149" s="9" t="s">
        <v>1990</v>
      </c>
      <c r="P149" s="11">
        <v>278.45999999999998</v>
      </c>
      <c r="Q149" s="11">
        <v>220</v>
      </c>
      <c r="R149" s="11">
        <v>220</v>
      </c>
      <c r="S149" s="11">
        <v>1227</v>
      </c>
      <c r="T149" s="11">
        <v>341670.42</v>
      </c>
      <c r="U149" s="12">
        <v>5.3999999999999999E-2</v>
      </c>
      <c r="V149" s="12">
        <v>0.87480000000000002</v>
      </c>
      <c r="W149" s="11">
        <v>1220.56</v>
      </c>
      <c r="X149" s="9" t="s">
        <v>288</v>
      </c>
      <c r="Y149" s="10">
        <v>45124</v>
      </c>
      <c r="Z149" s="13">
        <v>0.12740000000000001</v>
      </c>
      <c r="AB149" t="b">
        <v>0</v>
      </c>
      <c r="AC149" s="9" t="s">
        <v>289</v>
      </c>
      <c r="AD149" s="9" t="s">
        <v>290</v>
      </c>
      <c r="AE149" s="8">
        <v>1222.8399999999999</v>
      </c>
      <c r="AF149" s="14">
        <v>46.581510000000002</v>
      </c>
      <c r="AG149" s="14">
        <v>5.1878099999999998</v>
      </c>
      <c r="AH149" s="9" t="s">
        <v>291</v>
      </c>
      <c r="AI149" s="15" t="s">
        <v>396</v>
      </c>
      <c r="AJ149" s="9" t="s">
        <v>293</v>
      </c>
      <c r="AK149" s="9" t="s">
        <v>1991</v>
      </c>
      <c r="AL149" s="9" t="s">
        <v>1992</v>
      </c>
      <c r="AM149" s="9"/>
      <c r="AN149" s="9" t="s">
        <v>1993</v>
      </c>
      <c r="AO149" s="9" t="s">
        <v>1994</v>
      </c>
      <c r="AP149" s="9" t="s">
        <v>113</v>
      </c>
      <c r="AQ149" s="9" t="s">
        <v>355</v>
      </c>
      <c r="AR149" t="b">
        <v>0</v>
      </c>
      <c r="AS149" s="10"/>
      <c r="AT149" s="10" t="s">
        <v>299</v>
      </c>
      <c r="AU149" s="9"/>
      <c r="AV149" t="b">
        <v>0</v>
      </c>
      <c r="AW149" s="12"/>
      <c r="AX149" s="11"/>
      <c r="AY149" s="9"/>
      <c r="AZ149" t="b">
        <v>0</v>
      </c>
      <c r="BA149" s="9"/>
      <c r="BB149" s="12"/>
      <c r="BC149" s="11"/>
      <c r="BD149" s="9" t="s">
        <v>300</v>
      </c>
      <c r="BE149" s="9" t="s">
        <v>301</v>
      </c>
      <c r="BF149" s="9" t="s">
        <v>402</v>
      </c>
      <c r="BG149" s="9" t="s">
        <v>303</v>
      </c>
      <c r="BH149" s="9" t="s">
        <v>304</v>
      </c>
      <c r="BI149" s="9" t="s">
        <v>305</v>
      </c>
      <c r="BJ149" s="9" t="s">
        <v>306</v>
      </c>
      <c r="BK149" s="11">
        <v>856</v>
      </c>
      <c r="BL149" s="16">
        <v>173.59482</v>
      </c>
      <c r="BM149" s="10">
        <v>45729</v>
      </c>
      <c r="BN149" s="10"/>
      <c r="BO149" s="10"/>
      <c r="BP149" s="16"/>
      <c r="BQ149" s="16"/>
      <c r="BR149" s="9"/>
      <c r="BS149" s="9"/>
      <c r="BT149" s="9"/>
      <c r="BU149" s="9"/>
      <c r="BV149" s="9"/>
      <c r="BW149" s="10"/>
      <c r="BX149" s="15" t="s">
        <v>441</v>
      </c>
      <c r="BY149" s="10"/>
      <c r="BZ149" s="10"/>
      <c r="CA149" s="10"/>
      <c r="CB149" t="b">
        <v>0</v>
      </c>
      <c r="CC149" s="9" t="s">
        <v>308</v>
      </c>
      <c r="CD149" s="9" t="s">
        <v>309</v>
      </c>
    </row>
    <row r="150" spans="1:82" ht="29.1">
      <c r="A150" s="8">
        <v>20968</v>
      </c>
      <c r="B150" s="9" t="s">
        <v>1995</v>
      </c>
      <c r="C150" s="9" t="s">
        <v>1257</v>
      </c>
      <c r="D150" s="10">
        <v>45712</v>
      </c>
      <c r="E150" s="9" t="s">
        <v>1996</v>
      </c>
      <c r="F150" s="9" t="s">
        <v>1997</v>
      </c>
      <c r="G150" s="9" t="s">
        <v>1998</v>
      </c>
      <c r="H150" s="9" t="s">
        <v>281</v>
      </c>
      <c r="I150" s="9" t="s">
        <v>282</v>
      </c>
      <c r="J150" s="9" t="s">
        <v>283</v>
      </c>
      <c r="K150" s="9" t="s">
        <v>284</v>
      </c>
      <c r="L150" s="9" t="s">
        <v>1999</v>
      </c>
      <c r="M150" s="9" t="s">
        <v>2000</v>
      </c>
      <c r="N150" s="8">
        <v>1</v>
      </c>
      <c r="O150" s="9" t="s">
        <v>2001</v>
      </c>
      <c r="P150" s="11">
        <v>315.06</v>
      </c>
      <c r="Q150" s="11">
        <v>235</v>
      </c>
      <c r="R150" s="11">
        <v>214.9</v>
      </c>
      <c r="S150" s="11">
        <v>1269</v>
      </c>
      <c r="T150" s="11">
        <v>399811.14</v>
      </c>
      <c r="U150" s="12">
        <v>5.3999999999999999E-2</v>
      </c>
      <c r="V150" s="12">
        <v>0.84799999999999998</v>
      </c>
      <c r="W150" s="11">
        <v>1246.3</v>
      </c>
      <c r="X150" s="9" t="s">
        <v>288</v>
      </c>
      <c r="Y150" s="10">
        <v>44886</v>
      </c>
      <c r="Z150" s="13">
        <v>0.13120000000000001</v>
      </c>
      <c r="AB150" t="b">
        <v>0</v>
      </c>
      <c r="AC150" s="9" t="s">
        <v>289</v>
      </c>
      <c r="AD150" s="9" t="s">
        <v>290</v>
      </c>
      <c r="AE150" s="8">
        <v>1414.6604600000001</v>
      </c>
      <c r="AF150" s="14">
        <v>44.628430000000002</v>
      </c>
      <c r="AG150" s="14">
        <v>5.0067899999999996</v>
      </c>
      <c r="AH150" s="9" t="s">
        <v>483</v>
      </c>
      <c r="AI150" s="15" t="s">
        <v>2002</v>
      </c>
      <c r="AJ150" s="9" t="s">
        <v>293</v>
      </c>
      <c r="AK150" s="9" t="s">
        <v>2003</v>
      </c>
      <c r="AL150" s="9" t="s">
        <v>2004</v>
      </c>
      <c r="AM150" s="9"/>
      <c r="AN150" s="9" t="s">
        <v>2005</v>
      </c>
      <c r="AO150" s="9"/>
      <c r="AP150" s="9" t="s">
        <v>139</v>
      </c>
      <c r="AQ150" s="9" t="s">
        <v>298</v>
      </c>
      <c r="AR150" t="b">
        <v>0</v>
      </c>
      <c r="AS150" s="10"/>
      <c r="AT150" s="10" t="s">
        <v>299</v>
      </c>
      <c r="AU150" s="9"/>
      <c r="AV150" t="b">
        <v>0</v>
      </c>
      <c r="AW150" s="12"/>
      <c r="AX150" s="11"/>
      <c r="AY150" s="9"/>
      <c r="AZ150" t="b">
        <v>0</v>
      </c>
      <c r="BA150" s="9"/>
      <c r="BB150" s="12"/>
      <c r="BC150" s="11"/>
      <c r="BD150" s="9" t="s">
        <v>300</v>
      </c>
      <c r="BE150" s="9" t="s">
        <v>47</v>
      </c>
      <c r="BF150" s="9" t="s">
        <v>690</v>
      </c>
      <c r="BG150" s="9" t="s">
        <v>967</v>
      </c>
      <c r="BH150" s="9" t="s">
        <v>304</v>
      </c>
      <c r="BI150" s="9" t="s">
        <v>1267</v>
      </c>
      <c r="BJ150" s="9" t="s">
        <v>1268</v>
      </c>
      <c r="BK150" s="11">
        <v>856</v>
      </c>
      <c r="BL150" s="16">
        <v>180.72702000000001</v>
      </c>
      <c r="BM150" s="10">
        <v>45732</v>
      </c>
      <c r="BN150" s="10">
        <v>45792</v>
      </c>
      <c r="BO150" s="10"/>
      <c r="BP150" s="16"/>
      <c r="BQ150" s="16"/>
      <c r="BR150" s="9"/>
      <c r="BS150" s="9"/>
      <c r="BT150" s="9"/>
      <c r="BU150" s="9"/>
      <c r="BV150" s="9"/>
      <c r="BW150" s="10"/>
      <c r="BX150" s="15" t="s">
        <v>2006</v>
      </c>
      <c r="BY150" s="10"/>
      <c r="BZ150" s="10"/>
      <c r="CA150" s="10"/>
      <c r="CB150" t="b">
        <v>0</v>
      </c>
      <c r="CC150" s="9" t="s">
        <v>308</v>
      </c>
      <c r="CD150" s="9" t="s">
        <v>309</v>
      </c>
    </row>
    <row r="151" spans="1:82">
      <c r="A151" s="8">
        <v>20628</v>
      </c>
      <c r="B151" s="9" t="s">
        <v>2007</v>
      </c>
      <c r="C151" s="9" t="s">
        <v>277</v>
      </c>
      <c r="D151" s="10">
        <v>45712</v>
      </c>
      <c r="E151" s="9" t="s">
        <v>2008</v>
      </c>
      <c r="F151" s="9" t="s">
        <v>1997</v>
      </c>
      <c r="G151" s="9" t="s">
        <v>2009</v>
      </c>
      <c r="H151" s="9" t="s">
        <v>281</v>
      </c>
      <c r="I151" s="9" t="s">
        <v>282</v>
      </c>
      <c r="J151" s="9" t="s">
        <v>283</v>
      </c>
      <c r="K151" s="9" t="s">
        <v>284</v>
      </c>
      <c r="L151" s="9" t="s">
        <v>2010</v>
      </c>
      <c r="M151" s="9" t="s">
        <v>2011</v>
      </c>
      <c r="N151" s="8">
        <v>1</v>
      </c>
      <c r="O151" s="9" t="s">
        <v>2012</v>
      </c>
      <c r="P151" s="11">
        <v>191.1</v>
      </c>
      <c r="Q151" s="11">
        <v>165</v>
      </c>
      <c r="R151" s="11">
        <v>165</v>
      </c>
      <c r="S151" s="11">
        <v>1384</v>
      </c>
      <c r="T151" s="11">
        <v>264482.40000000002</v>
      </c>
      <c r="U151" s="12">
        <v>5.3999999999999999E-2</v>
      </c>
      <c r="V151" s="12">
        <v>0.86570000000000003</v>
      </c>
      <c r="W151" s="11">
        <v>1105.414</v>
      </c>
      <c r="X151" s="9" t="s">
        <v>288</v>
      </c>
      <c r="Y151" s="10">
        <v>45155</v>
      </c>
      <c r="Z151" s="13">
        <v>0.124</v>
      </c>
      <c r="AB151" t="b">
        <v>0</v>
      </c>
      <c r="AC151" s="9" t="s">
        <v>289</v>
      </c>
      <c r="AD151" s="9" t="s">
        <v>290</v>
      </c>
      <c r="AE151" s="8">
        <v>839.20536000000004</v>
      </c>
      <c r="AF151" s="14">
        <v>44.652929999999998</v>
      </c>
      <c r="AG151" s="14">
        <v>5.0075200000000004</v>
      </c>
      <c r="AH151" s="9" t="s">
        <v>291</v>
      </c>
      <c r="AI151" s="15" t="s">
        <v>396</v>
      </c>
      <c r="AJ151" s="9" t="s">
        <v>293</v>
      </c>
      <c r="AK151" s="9" t="s">
        <v>2013</v>
      </c>
      <c r="AL151" s="9" t="s">
        <v>2014</v>
      </c>
      <c r="AM151" s="9"/>
      <c r="AN151" s="9" t="s">
        <v>2015</v>
      </c>
      <c r="AO151" s="9"/>
      <c r="AP151" s="9" t="s">
        <v>139</v>
      </c>
      <c r="AQ151" s="9" t="s">
        <v>1461</v>
      </c>
      <c r="AR151" t="b">
        <v>0</v>
      </c>
      <c r="AS151" s="10"/>
      <c r="AT151" s="10" t="s">
        <v>299</v>
      </c>
      <c r="AU151" s="9"/>
      <c r="AV151" t="b">
        <v>0</v>
      </c>
      <c r="AW151" s="12"/>
      <c r="AX151" s="11"/>
      <c r="AY151" s="9"/>
      <c r="AZ151" t="b">
        <v>0</v>
      </c>
      <c r="BA151" s="9"/>
      <c r="BB151" s="12"/>
      <c r="BC151" s="11"/>
      <c r="BD151" s="9" t="s">
        <v>300</v>
      </c>
      <c r="BE151" s="9" t="s">
        <v>301</v>
      </c>
      <c r="BF151" s="9" t="s">
        <v>690</v>
      </c>
      <c r="BG151" s="9" t="s">
        <v>967</v>
      </c>
      <c r="BH151" s="9" t="s">
        <v>304</v>
      </c>
      <c r="BI151" s="9" t="s">
        <v>305</v>
      </c>
      <c r="BJ151" s="9" t="s">
        <v>306</v>
      </c>
      <c r="BK151" s="11">
        <v>856</v>
      </c>
      <c r="BL151" s="16">
        <v>141.53370000000001</v>
      </c>
      <c r="BM151" s="10"/>
      <c r="BN151" s="10"/>
      <c r="BO151" s="10"/>
      <c r="BP151" s="16"/>
      <c r="BQ151" s="16"/>
      <c r="BR151" s="9"/>
      <c r="BS151" s="9"/>
      <c r="BT151" s="9"/>
      <c r="BU151" s="9"/>
      <c r="BV151" s="9"/>
      <c r="BW151" s="10"/>
      <c r="BX151" s="15" t="s">
        <v>2016</v>
      </c>
      <c r="BY151" s="10"/>
      <c r="BZ151" s="10"/>
      <c r="CA151" s="10"/>
      <c r="CB151" t="b">
        <v>0</v>
      </c>
      <c r="CC151" s="9" t="s">
        <v>308</v>
      </c>
      <c r="CD151" s="9" t="s">
        <v>309</v>
      </c>
    </row>
    <row r="152" spans="1:82">
      <c r="A152" s="8">
        <v>49472</v>
      </c>
      <c r="B152" s="9" t="s">
        <v>2017</v>
      </c>
      <c r="C152" s="9" t="s">
        <v>970</v>
      </c>
      <c r="D152" s="10">
        <v>45709</v>
      </c>
      <c r="E152" s="9" t="s">
        <v>2018</v>
      </c>
      <c r="F152" s="9" t="s">
        <v>2019</v>
      </c>
      <c r="G152" s="9" t="s">
        <v>2020</v>
      </c>
      <c r="H152" s="9" t="s">
        <v>281</v>
      </c>
      <c r="I152" s="9" t="s">
        <v>282</v>
      </c>
      <c r="J152" s="9" t="s">
        <v>283</v>
      </c>
      <c r="K152" s="9" t="s">
        <v>284</v>
      </c>
      <c r="L152" s="9" t="s">
        <v>2021</v>
      </c>
      <c r="M152" s="9" t="s">
        <v>2022</v>
      </c>
      <c r="N152" s="8">
        <v>1</v>
      </c>
      <c r="O152" s="9" t="s">
        <v>2023</v>
      </c>
      <c r="P152" s="11">
        <v>301</v>
      </c>
      <c r="Q152" s="11">
        <v>220</v>
      </c>
      <c r="R152" s="11">
        <v>220</v>
      </c>
      <c r="S152" s="11">
        <v>1100</v>
      </c>
      <c r="T152" s="11">
        <v>331100</v>
      </c>
      <c r="U152" s="12">
        <v>5.3999999999999999E-2</v>
      </c>
      <c r="V152" s="12">
        <v>0.85799999999999998</v>
      </c>
      <c r="W152" s="11">
        <v>1072.8</v>
      </c>
      <c r="X152" s="9" t="s">
        <v>288</v>
      </c>
      <c r="Y152" s="10">
        <v>44704</v>
      </c>
      <c r="Z152" s="13">
        <v>0.13120000000000001</v>
      </c>
      <c r="AB152" t="b">
        <v>0</v>
      </c>
      <c r="AC152" s="9" t="s">
        <v>289</v>
      </c>
      <c r="AD152" s="9" t="s">
        <v>290</v>
      </c>
      <c r="AE152" s="8">
        <v>1362.1020000000001</v>
      </c>
      <c r="AF152" s="14">
        <v>46.62162</v>
      </c>
      <c r="AG152" s="14">
        <v>3.3410500000000001</v>
      </c>
      <c r="AH152" s="9" t="s">
        <v>483</v>
      </c>
      <c r="AI152" s="15" t="s">
        <v>396</v>
      </c>
      <c r="AJ152" s="9" t="s">
        <v>293</v>
      </c>
      <c r="AK152" s="9" t="s">
        <v>2024</v>
      </c>
      <c r="AL152" s="9" t="s">
        <v>2025</v>
      </c>
      <c r="AM152" s="9"/>
      <c r="AN152" s="9" t="s">
        <v>2026</v>
      </c>
      <c r="AO152" s="9"/>
      <c r="AP152" s="9" t="s">
        <v>43</v>
      </c>
      <c r="AQ152" s="9" t="s">
        <v>847</v>
      </c>
      <c r="AR152" t="b">
        <v>0</v>
      </c>
      <c r="AS152" s="10"/>
      <c r="AT152" s="10" t="s">
        <v>299</v>
      </c>
      <c r="AU152" s="9"/>
      <c r="AV152" t="b">
        <v>0</v>
      </c>
      <c r="AW152" s="12"/>
      <c r="AX152" s="11"/>
      <c r="AY152" s="9"/>
      <c r="AZ152" t="b">
        <v>0</v>
      </c>
      <c r="BA152" s="9"/>
      <c r="BB152" s="12"/>
      <c r="BC152" s="11"/>
      <c r="BD152" s="9" t="s">
        <v>300</v>
      </c>
      <c r="BE152" s="9" t="s">
        <v>301</v>
      </c>
      <c r="BF152" s="9" t="s">
        <v>1111</v>
      </c>
      <c r="BG152" s="9" t="s">
        <v>303</v>
      </c>
      <c r="BH152" s="9" t="s">
        <v>304</v>
      </c>
      <c r="BI152" s="9" t="s">
        <v>981</v>
      </c>
      <c r="BJ152" s="9" t="s">
        <v>982</v>
      </c>
      <c r="BK152" s="11">
        <v>856</v>
      </c>
      <c r="BL152" s="16">
        <v>175.56700000000001</v>
      </c>
      <c r="BM152" s="10">
        <v>45725</v>
      </c>
      <c r="BN152" s="10">
        <v>45758</v>
      </c>
      <c r="BO152" s="10"/>
      <c r="BP152" s="16"/>
      <c r="BQ152" s="16"/>
      <c r="BR152" s="9" t="s">
        <v>2027</v>
      </c>
      <c r="BS152" s="9" t="s">
        <v>2028</v>
      </c>
      <c r="BT152" s="9" t="s">
        <v>2029</v>
      </c>
      <c r="BU152" s="9" t="s">
        <v>2019</v>
      </c>
      <c r="BV152" s="9"/>
      <c r="BW152" s="10"/>
      <c r="BX152" s="15" t="s">
        <v>2030</v>
      </c>
      <c r="BY152" s="10"/>
      <c r="BZ152" s="10"/>
      <c r="CA152" s="10"/>
      <c r="CB152" t="b">
        <v>0</v>
      </c>
      <c r="CC152" s="9" t="s">
        <v>308</v>
      </c>
      <c r="CD152" s="9" t="s">
        <v>309</v>
      </c>
    </row>
    <row r="153" spans="1:82">
      <c r="A153" s="8">
        <v>96548</v>
      </c>
      <c r="B153" s="9" t="s">
        <v>2031</v>
      </c>
      <c r="C153" s="9" t="s">
        <v>277</v>
      </c>
      <c r="D153" s="10">
        <v>45708</v>
      </c>
      <c r="E153" s="9" t="s">
        <v>2032</v>
      </c>
      <c r="F153" s="9" t="s">
        <v>379</v>
      </c>
      <c r="G153" s="9" t="s">
        <v>2033</v>
      </c>
      <c r="H153" s="9" t="s">
        <v>281</v>
      </c>
      <c r="I153" s="9" t="s">
        <v>282</v>
      </c>
      <c r="J153" s="9" t="s">
        <v>283</v>
      </c>
      <c r="K153" s="9" t="s">
        <v>284</v>
      </c>
      <c r="L153" s="9" t="s">
        <v>2034</v>
      </c>
      <c r="M153" s="9" t="s">
        <v>2035</v>
      </c>
      <c r="N153" s="8">
        <v>2</v>
      </c>
      <c r="O153" s="9" t="s">
        <v>2036</v>
      </c>
      <c r="P153" s="11">
        <v>499.59</v>
      </c>
      <c r="Q153" s="11">
        <v>440</v>
      </c>
      <c r="R153" s="11">
        <v>418</v>
      </c>
      <c r="S153" s="11">
        <v>1294</v>
      </c>
      <c r="T153" s="11">
        <v>646469.46</v>
      </c>
      <c r="U153" s="12">
        <v>5.3999999999999999E-2</v>
      </c>
      <c r="V153" s="12">
        <v>0.86819999999999997</v>
      </c>
      <c r="W153" s="11">
        <v>1243.807</v>
      </c>
      <c r="X153" s="9" t="s">
        <v>288</v>
      </c>
      <c r="Y153" s="10">
        <v>45131</v>
      </c>
      <c r="Z153" s="13">
        <v>0.124</v>
      </c>
      <c r="AB153" t="b">
        <v>0</v>
      </c>
      <c r="AC153" s="9" t="s">
        <v>289</v>
      </c>
      <c r="AD153" s="9" t="s">
        <v>290</v>
      </c>
      <c r="AE153" s="8">
        <v>2193.92</v>
      </c>
      <c r="AF153" s="14">
        <v>44.863408</v>
      </c>
      <c r="AG153" s="14">
        <v>0.335368</v>
      </c>
      <c r="AH153" s="9" t="s">
        <v>291</v>
      </c>
      <c r="AI153" s="15" t="s">
        <v>319</v>
      </c>
      <c r="AJ153" s="9" t="s">
        <v>293</v>
      </c>
      <c r="AK153" s="9" t="s">
        <v>2037</v>
      </c>
      <c r="AL153" s="9" t="s">
        <v>2038</v>
      </c>
      <c r="AM153" s="9"/>
      <c r="AN153" s="9" t="s">
        <v>2039</v>
      </c>
      <c r="AO153" s="9"/>
      <c r="AP153" s="9" t="s">
        <v>469</v>
      </c>
      <c r="AQ153" s="9" t="s">
        <v>355</v>
      </c>
      <c r="AR153" t="b">
        <v>0</v>
      </c>
      <c r="AS153" s="10"/>
      <c r="AT153" s="10" t="s">
        <v>299</v>
      </c>
      <c r="AU153" s="9"/>
      <c r="AV153" t="b">
        <v>0</v>
      </c>
      <c r="AW153" s="12"/>
      <c r="AX153" s="11"/>
      <c r="AY153" s="9"/>
      <c r="AZ153" t="b">
        <v>0</v>
      </c>
      <c r="BA153" s="9"/>
      <c r="BB153" s="12"/>
      <c r="BC153" s="11"/>
      <c r="BD153" s="9" t="s">
        <v>325</v>
      </c>
      <c r="BE153" s="9" t="s">
        <v>301</v>
      </c>
      <c r="BF153" s="9" t="s">
        <v>373</v>
      </c>
      <c r="BG153" s="9" t="s">
        <v>749</v>
      </c>
      <c r="BH153" s="9" t="s">
        <v>304</v>
      </c>
      <c r="BI153" s="9" t="s">
        <v>305</v>
      </c>
      <c r="BJ153" s="9" t="s">
        <v>306</v>
      </c>
      <c r="BK153" s="11">
        <v>856</v>
      </c>
      <c r="BL153" s="16">
        <v>254.74952999999999</v>
      </c>
      <c r="BM153" s="10"/>
      <c r="BN153" s="10"/>
      <c r="BO153" s="10"/>
      <c r="BP153" s="16"/>
      <c r="BQ153" s="16"/>
      <c r="BR153" s="9"/>
      <c r="BS153" s="9"/>
      <c r="BT153" s="9"/>
      <c r="BU153" s="9"/>
      <c r="BV153" s="9"/>
      <c r="BW153" s="10"/>
      <c r="BX153" s="15" t="s">
        <v>2040</v>
      </c>
      <c r="BY153" s="10"/>
      <c r="BZ153" s="10"/>
      <c r="CA153" s="10"/>
      <c r="CB153" t="b">
        <v>0</v>
      </c>
      <c r="CC153" s="9" t="s">
        <v>308</v>
      </c>
      <c r="CD153" s="9" t="s">
        <v>309</v>
      </c>
    </row>
    <row r="154" spans="1:82">
      <c r="A154" s="8">
        <v>70073</v>
      </c>
      <c r="B154" s="9" t="s">
        <v>2041</v>
      </c>
      <c r="C154" s="9" t="s">
        <v>970</v>
      </c>
      <c r="D154" s="10">
        <v>45707</v>
      </c>
      <c r="E154" s="9" t="s">
        <v>2042</v>
      </c>
      <c r="F154" s="9" t="s">
        <v>2043</v>
      </c>
      <c r="G154" s="9" t="s">
        <v>2044</v>
      </c>
      <c r="H154" s="9" t="s">
        <v>281</v>
      </c>
      <c r="I154" s="9" t="s">
        <v>282</v>
      </c>
      <c r="J154" s="9" t="s">
        <v>283</v>
      </c>
      <c r="K154" s="9" t="s">
        <v>284</v>
      </c>
      <c r="L154" s="9" t="s">
        <v>2045</v>
      </c>
      <c r="M154" s="9" t="s">
        <v>2046</v>
      </c>
      <c r="N154" s="8">
        <v>1</v>
      </c>
      <c r="O154" s="9" t="s">
        <v>2047</v>
      </c>
      <c r="P154" s="11">
        <v>293.93</v>
      </c>
      <c r="Q154" s="11">
        <v>220</v>
      </c>
      <c r="R154" s="11">
        <v>249.9</v>
      </c>
      <c r="S154" s="11">
        <v>1234</v>
      </c>
      <c r="T154" s="11">
        <v>362709.62</v>
      </c>
      <c r="U154" s="12">
        <v>5.3999999999999999E-2</v>
      </c>
      <c r="V154" s="12">
        <v>0.86099999999999999</v>
      </c>
      <c r="W154" s="11">
        <v>1201.7</v>
      </c>
      <c r="X154" s="9" t="s">
        <v>288</v>
      </c>
      <c r="Y154" s="10">
        <v>45013</v>
      </c>
      <c r="Z154" s="13">
        <v>0.13120000000000001</v>
      </c>
      <c r="AB154" t="b">
        <v>0</v>
      </c>
      <c r="AC154" s="9" t="s">
        <v>1754</v>
      </c>
      <c r="AD154" s="9" t="s">
        <v>1755</v>
      </c>
      <c r="AE154" s="8">
        <v>1290.7777699999999</v>
      </c>
      <c r="AF154" s="14">
        <v>46.771329999999999</v>
      </c>
      <c r="AG154" s="14">
        <v>-0.59962000000000004</v>
      </c>
      <c r="AH154" s="9" t="s">
        <v>483</v>
      </c>
      <c r="AI154" s="15" t="s">
        <v>396</v>
      </c>
      <c r="AJ154" s="9" t="s">
        <v>293</v>
      </c>
      <c r="AK154" s="9" t="s">
        <v>2048</v>
      </c>
      <c r="AL154" s="9" t="s">
        <v>2049</v>
      </c>
      <c r="AM154" s="9"/>
      <c r="AN154" s="9" t="s">
        <v>2050</v>
      </c>
      <c r="AO154" s="9"/>
      <c r="AP154" s="9" t="s">
        <v>597</v>
      </c>
      <c r="AQ154" s="9" t="s">
        <v>298</v>
      </c>
      <c r="AR154" t="b">
        <v>0</v>
      </c>
      <c r="AS154" s="10"/>
      <c r="AT154" s="10" t="s">
        <v>299</v>
      </c>
      <c r="AU154" s="9"/>
      <c r="AV154" t="b">
        <v>0</v>
      </c>
      <c r="AW154" s="12"/>
      <c r="AX154" s="11"/>
      <c r="AY154" s="9"/>
      <c r="AZ154" t="b">
        <v>0</v>
      </c>
      <c r="BA154" s="9"/>
      <c r="BB154" s="12"/>
      <c r="BC154" s="11"/>
      <c r="BD154" s="9" t="s">
        <v>300</v>
      </c>
      <c r="BE154" s="9" t="s">
        <v>301</v>
      </c>
      <c r="BF154" s="9" t="s">
        <v>302</v>
      </c>
      <c r="BG154" s="9" t="s">
        <v>529</v>
      </c>
      <c r="BH154" s="9" t="s">
        <v>304</v>
      </c>
      <c r="BI154" s="9" t="s">
        <v>981</v>
      </c>
      <c r="BJ154" s="9" t="s">
        <v>982</v>
      </c>
      <c r="BK154" s="11">
        <v>856</v>
      </c>
      <c r="BL154" s="16">
        <v>172.97230999999999</v>
      </c>
      <c r="BM154" s="10">
        <v>45783</v>
      </c>
      <c r="BN154" s="10">
        <v>45792</v>
      </c>
      <c r="BO154" s="10"/>
      <c r="BP154" s="16"/>
      <c r="BQ154" s="16"/>
      <c r="BR154" s="9"/>
      <c r="BS154" s="9"/>
      <c r="BT154" s="9"/>
      <c r="BU154" s="9"/>
      <c r="BV154" s="9"/>
      <c r="BW154" s="10"/>
      <c r="BX154" s="15" t="s">
        <v>2051</v>
      </c>
      <c r="BY154" s="10">
        <v>45707</v>
      </c>
      <c r="BZ154" s="10">
        <v>53012</v>
      </c>
      <c r="CA154" s="10">
        <v>45804</v>
      </c>
      <c r="CB154" t="b">
        <v>0</v>
      </c>
      <c r="CC154" s="9" t="s">
        <v>308</v>
      </c>
      <c r="CD154" s="9" t="s">
        <v>309</v>
      </c>
    </row>
    <row r="155" spans="1:82">
      <c r="A155" s="8">
        <v>97192</v>
      </c>
      <c r="B155" s="9" t="s">
        <v>2052</v>
      </c>
      <c r="C155" s="9" t="s">
        <v>628</v>
      </c>
      <c r="D155" s="10">
        <v>45706</v>
      </c>
      <c r="E155" s="9" t="s">
        <v>2053</v>
      </c>
      <c r="F155" s="9" t="s">
        <v>2054</v>
      </c>
      <c r="G155" s="9" t="s">
        <v>2055</v>
      </c>
      <c r="H155" s="9" t="s">
        <v>281</v>
      </c>
      <c r="I155" s="9" t="s">
        <v>282</v>
      </c>
      <c r="J155" s="9" t="s">
        <v>283</v>
      </c>
      <c r="K155" s="9" t="s">
        <v>284</v>
      </c>
      <c r="L155" s="9" t="s">
        <v>2056</v>
      </c>
      <c r="M155" s="9" t="s">
        <v>2057</v>
      </c>
      <c r="N155" s="8">
        <v>1</v>
      </c>
      <c r="O155" s="9" t="s">
        <v>2058</v>
      </c>
      <c r="P155" s="11">
        <v>173.55</v>
      </c>
      <c r="Q155" s="11">
        <v>150</v>
      </c>
      <c r="R155" s="11">
        <v>130.4</v>
      </c>
      <c r="S155" s="11">
        <v>1069</v>
      </c>
      <c r="T155" s="11">
        <v>185524.95</v>
      </c>
      <c r="U155" s="12">
        <v>5.3999999999999999E-2</v>
      </c>
      <c r="V155" s="12">
        <v>0.81993000000000005</v>
      </c>
      <c r="W155" s="11">
        <v>1073.29</v>
      </c>
      <c r="X155" s="9" t="s">
        <v>288</v>
      </c>
      <c r="Y155" s="10">
        <v>45009</v>
      </c>
      <c r="Z155" s="13">
        <v>0.13120000000000001</v>
      </c>
      <c r="AB155" t="b">
        <v>0</v>
      </c>
      <c r="AC155" s="9" t="s">
        <v>289</v>
      </c>
      <c r="AD155" s="9" t="s">
        <v>290</v>
      </c>
      <c r="AE155" s="8">
        <v>779.26211999999998</v>
      </c>
      <c r="AF155" s="14">
        <v>45.295299999999997</v>
      </c>
      <c r="AG155" s="14">
        <v>0.28283000000000003</v>
      </c>
      <c r="AH155" s="9" t="s">
        <v>524</v>
      </c>
      <c r="AI155" s="15" t="s">
        <v>319</v>
      </c>
      <c r="AJ155" s="9" t="s">
        <v>293</v>
      </c>
      <c r="AK155" s="9" t="s">
        <v>2059</v>
      </c>
      <c r="AL155" s="9" t="s">
        <v>2060</v>
      </c>
      <c r="AM155" s="9"/>
      <c r="AN155" s="9" t="s">
        <v>2061</v>
      </c>
      <c r="AO155" s="9"/>
      <c r="AP155" s="9" t="s">
        <v>123</v>
      </c>
      <c r="AQ155" s="9" t="s">
        <v>123</v>
      </c>
      <c r="AR155" t="b">
        <v>0</v>
      </c>
      <c r="AS155" s="10"/>
      <c r="AT155" s="10" t="s">
        <v>299</v>
      </c>
      <c r="AU155" s="9"/>
      <c r="AV155" t="b">
        <v>0</v>
      </c>
      <c r="AW155" s="12"/>
      <c r="AX155" s="11"/>
      <c r="AY155" s="9"/>
      <c r="AZ155" t="b">
        <v>0</v>
      </c>
      <c r="BA155" s="9"/>
      <c r="BB155" s="12"/>
      <c r="BC155" s="11"/>
      <c r="BD155" s="9" t="s">
        <v>325</v>
      </c>
      <c r="BE155" s="9" t="s">
        <v>47</v>
      </c>
      <c r="BF155" s="9" t="s">
        <v>373</v>
      </c>
      <c r="BG155" s="9" t="s">
        <v>749</v>
      </c>
      <c r="BH155" s="9" t="s">
        <v>304</v>
      </c>
      <c r="BI155" s="9" t="s">
        <v>638</v>
      </c>
      <c r="BJ155" s="9" t="s">
        <v>639</v>
      </c>
      <c r="BK155" s="11">
        <v>856</v>
      </c>
      <c r="BL155" s="16">
        <v>135.09285</v>
      </c>
      <c r="BM155" s="10"/>
      <c r="BN155" s="10"/>
      <c r="BO155" s="10"/>
      <c r="BP155" s="16"/>
      <c r="BQ155" s="16"/>
      <c r="BR155" s="9"/>
      <c r="BS155" s="9"/>
      <c r="BT155" s="9"/>
      <c r="BU155" s="9"/>
      <c r="BV155" s="9"/>
      <c r="BW155" s="10"/>
      <c r="BX155" s="15" t="s">
        <v>2062</v>
      </c>
      <c r="BY155" s="10"/>
      <c r="BZ155" s="10"/>
      <c r="CA155" s="10"/>
      <c r="CB155" t="b">
        <v>0</v>
      </c>
      <c r="CC155" s="9" t="s">
        <v>308</v>
      </c>
      <c r="CD155" s="9" t="s">
        <v>309</v>
      </c>
    </row>
    <row r="156" spans="1:82">
      <c r="A156" s="8">
        <v>79619</v>
      </c>
      <c r="B156" s="9" t="s">
        <v>2063</v>
      </c>
      <c r="C156" s="9" t="s">
        <v>1204</v>
      </c>
      <c r="D156" s="10">
        <v>45700</v>
      </c>
      <c r="E156" s="9" t="s">
        <v>2064</v>
      </c>
      <c r="F156" s="9" t="s">
        <v>2065</v>
      </c>
      <c r="G156" s="9" t="s">
        <v>2066</v>
      </c>
      <c r="H156" s="9" t="s">
        <v>281</v>
      </c>
      <c r="I156" s="9" t="s">
        <v>282</v>
      </c>
      <c r="J156" s="9" t="s">
        <v>719</v>
      </c>
      <c r="K156" s="9" t="s">
        <v>284</v>
      </c>
      <c r="L156" s="9" t="s">
        <v>2067</v>
      </c>
      <c r="M156" s="9" t="s">
        <v>2068</v>
      </c>
      <c r="N156" s="8">
        <v>2</v>
      </c>
      <c r="O156" s="9" t="s">
        <v>2069</v>
      </c>
      <c r="P156" s="11">
        <v>451.5</v>
      </c>
      <c r="Q156" s="11">
        <v>440</v>
      </c>
      <c r="R156" s="11">
        <v>380</v>
      </c>
      <c r="S156" s="11">
        <v>1207.5</v>
      </c>
      <c r="T156" s="11">
        <v>545186.25</v>
      </c>
      <c r="U156" s="12">
        <v>5.2999999999999999E-2</v>
      </c>
      <c r="V156" s="12">
        <v>0.84899999999999998</v>
      </c>
      <c r="W156" s="11">
        <v>1167.9000000000001</v>
      </c>
      <c r="X156" s="9" t="s">
        <v>288</v>
      </c>
      <c r="Y156" s="10">
        <v>45133</v>
      </c>
      <c r="Z156" s="13">
        <v>0.1246</v>
      </c>
      <c r="AB156" t="b">
        <v>0</v>
      </c>
      <c r="AC156" s="9" t="s">
        <v>289</v>
      </c>
      <c r="AD156" s="9" t="s">
        <v>290</v>
      </c>
      <c r="AE156" s="8">
        <v>2118.69</v>
      </c>
      <c r="AF156" s="14">
        <v>43.77328</v>
      </c>
      <c r="AG156" s="14">
        <v>2.1861700000000002</v>
      </c>
      <c r="AH156" s="9" t="s">
        <v>483</v>
      </c>
      <c r="AI156" s="15" t="s">
        <v>319</v>
      </c>
      <c r="AJ156" s="9" t="s">
        <v>293</v>
      </c>
      <c r="AK156" s="9" t="s">
        <v>2070</v>
      </c>
      <c r="AL156" s="9" t="s">
        <v>2071</v>
      </c>
      <c r="AM156" s="9" t="s">
        <v>2072</v>
      </c>
      <c r="AN156" s="9" t="s">
        <v>2073</v>
      </c>
      <c r="AO156" s="9"/>
      <c r="AP156" s="9" t="s">
        <v>93</v>
      </c>
      <c r="AQ156" s="9" t="s">
        <v>372</v>
      </c>
      <c r="AR156" t="b">
        <v>0</v>
      </c>
      <c r="AS156" s="10"/>
      <c r="AT156" s="10" t="s">
        <v>299</v>
      </c>
      <c r="AU156" s="9"/>
      <c r="AV156" t="b">
        <v>0</v>
      </c>
      <c r="AW156" s="12"/>
      <c r="AX156" s="11"/>
      <c r="AY156" s="9"/>
      <c r="AZ156" t="b">
        <v>0</v>
      </c>
      <c r="BA156" s="9"/>
      <c r="BB156" s="12"/>
      <c r="BC156" s="11"/>
      <c r="BD156" s="9" t="s">
        <v>300</v>
      </c>
      <c r="BE156" s="9" t="s">
        <v>86</v>
      </c>
      <c r="BF156" s="9" t="s">
        <v>702</v>
      </c>
      <c r="BG156" s="9" t="s">
        <v>416</v>
      </c>
      <c r="BH156" s="9" t="s">
        <v>304</v>
      </c>
      <c r="BI156" s="9" t="s">
        <v>1213</v>
      </c>
      <c r="BJ156" s="9" t="s">
        <v>1214</v>
      </c>
      <c r="BK156" s="11">
        <v>856</v>
      </c>
      <c r="BL156" s="16">
        <v>230.8005</v>
      </c>
      <c r="BM156" s="10">
        <v>45716</v>
      </c>
      <c r="BN156" s="10">
        <v>45821</v>
      </c>
      <c r="BO156" s="10"/>
      <c r="BP156" s="16"/>
      <c r="BQ156" s="16"/>
      <c r="BR156" s="9"/>
      <c r="BS156" s="9"/>
      <c r="BT156" s="9"/>
      <c r="BU156" s="9"/>
      <c r="BV156" s="9"/>
      <c r="BW156" s="10"/>
      <c r="BX156" s="15" t="s">
        <v>2074</v>
      </c>
      <c r="BY156" s="10">
        <v>45700</v>
      </c>
      <c r="BZ156" s="10"/>
      <c r="CA156" s="10"/>
      <c r="CB156" t="b">
        <v>0</v>
      </c>
      <c r="CC156" s="9" t="s">
        <v>308</v>
      </c>
      <c r="CD156" s="9" t="s">
        <v>309</v>
      </c>
    </row>
    <row r="157" spans="1:82">
      <c r="A157" s="8">
        <v>95844</v>
      </c>
      <c r="B157" s="9" t="s">
        <v>2075</v>
      </c>
      <c r="C157" s="9" t="s">
        <v>932</v>
      </c>
      <c r="D157" s="10">
        <v>45699</v>
      </c>
      <c r="E157" s="9" t="s">
        <v>2076</v>
      </c>
      <c r="F157" s="9" t="s">
        <v>2077</v>
      </c>
      <c r="G157" s="9" t="s">
        <v>2078</v>
      </c>
      <c r="H157" s="9" t="s">
        <v>315</v>
      </c>
      <c r="I157" s="9" t="s">
        <v>282</v>
      </c>
      <c r="J157" s="9" t="s">
        <v>283</v>
      </c>
      <c r="K157" s="9" t="s">
        <v>284</v>
      </c>
      <c r="L157" s="9" t="s">
        <v>2079</v>
      </c>
      <c r="M157" s="9" t="s">
        <v>2080</v>
      </c>
      <c r="N157" s="8">
        <v>2</v>
      </c>
      <c r="O157" s="9" t="s">
        <v>2081</v>
      </c>
      <c r="P157" s="11">
        <v>497.51</v>
      </c>
      <c r="Q157" s="11">
        <v>440</v>
      </c>
      <c r="R157" s="11">
        <v>416.6</v>
      </c>
      <c r="S157" s="11">
        <v>1173</v>
      </c>
      <c r="T157" s="11">
        <v>583579.23</v>
      </c>
      <c r="U157" s="12">
        <v>5.3999999999999999E-2</v>
      </c>
      <c r="V157" s="12">
        <v>0.86599999999999999</v>
      </c>
      <c r="W157" s="11">
        <v>1158.2</v>
      </c>
      <c r="X157" s="9" t="s">
        <v>288</v>
      </c>
      <c r="Y157" s="10">
        <v>44991</v>
      </c>
      <c r="Z157" s="13">
        <v>0.13120000000000001</v>
      </c>
      <c r="AA157" t="b">
        <v>1</v>
      </c>
      <c r="AB157" t="b">
        <v>0</v>
      </c>
      <c r="AC157" s="9" t="s">
        <v>289</v>
      </c>
      <c r="AD157" s="9" t="s">
        <v>290</v>
      </c>
      <c r="AE157" s="8">
        <v>2233.88</v>
      </c>
      <c r="AF157" s="14">
        <v>46.050020000000004</v>
      </c>
      <c r="AG157" s="14">
        <v>1.71536</v>
      </c>
      <c r="AH157" s="9" t="s">
        <v>483</v>
      </c>
      <c r="AI157" s="15" t="s">
        <v>319</v>
      </c>
      <c r="AJ157" s="9" t="s">
        <v>293</v>
      </c>
      <c r="AK157" s="9" t="s">
        <v>2075</v>
      </c>
      <c r="AL157" s="9" t="s">
        <v>2082</v>
      </c>
      <c r="AM157" s="9"/>
      <c r="AN157" s="9" t="s">
        <v>2083</v>
      </c>
      <c r="AO157" s="9"/>
      <c r="AP157" s="9" t="s">
        <v>108</v>
      </c>
      <c r="AQ157" s="9" t="s">
        <v>298</v>
      </c>
      <c r="AR157" t="b">
        <v>0</v>
      </c>
      <c r="AS157" s="10"/>
      <c r="AT157" s="10" t="s">
        <v>299</v>
      </c>
      <c r="AU157" s="9"/>
      <c r="AV157" t="b">
        <v>0</v>
      </c>
      <c r="AW157" s="12"/>
      <c r="AX157" s="11"/>
      <c r="AY157" s="9"/>
      <c r="AZ157" t="b">
        <v>0</v>
      </c>
      <c r="BA157" s="9"/>
      <c r="BB157" s="12"/>
      <c r="BC157" s="11"/>
      <c r="BD157" s="9" t="s">
        <v>325</v>
      </c>
      <c r="BE157" s="9" t="s">
        <v>301</v>
      </c>
      <c r="BF157" s="9" t="s">
        <v>402</v>
      </c>
      <c r="BG157" s="9" t="s">
        <v>529</v>
      </c>
      <c r="BH157" s="9" t="s">
        <v>304</v>
      </c>
      <c r="BI157" s="9" t="s">
        <v>943</v>
      </c>
      <c r="BJ157" s="9" t="s">
        <v>944</v>
      </c>
      <c r="BK157" s="11">
        <v>856</v>
      </c>
      <c r="BL157" s="16">
        <v>247.68617</v>
      </c>
      <c r="BM157" s="10">
        <v>45869</v>
      </c>
      <c r="BN157" s="10">
        <v>45908</v>
      </c>
      <c r="BO157" s="10"/>
      <c r="BP157" s="16"/>
      <c r="BQ157" s="16"/>
      <c r="BR157" s="9"/>
      <c r="BS157" s="9"/>
      <c r="BT157" s="9"/>
      <c r="BU157" s="9"/>
      <c r="BV157" s="9"/>
      <c r="BW157" s="10"/>
      <c r="BX157" s="15" t="s">
        <v>2084</v>
      </c>
      <c r="BY157" s="10"/>
      <c r="BZ157" s="10"/>
      <c r="CA157" s="10"/>
      <c r="CB157" t="b">
        <v>0</v>
      </c>
      <c r="CC157" s="9" t="s">
        <v>308</v>
      </c>
      <c r="CD157" s="9" t="s">
        <v>309</v>
      </c>
    </row>
    <row r="158" spans="1:82">
      <c r="A158" s="8">
        <v>12872</v>
      </c>
      <c r="B158" s="9" t="s">
        <v>2085</v>
      </c>
      <c r="C158" s="9" t="s">
        <v>932</v>
      </c>
      <c r="D158" s="10">
        <v>45695</v>
      </c>
      <c r="E158" s="9" t="s">
        <v>2086</v>
      </c>
      <c r="F158" s="9" t="s">
        <v>2087</v>
      </c>
      <c r="G158" s="9" t="s">
        <v>2088</v>
      </c>
      <c r="H158" s="9" t="s">
        <v>281</v>
      </c>
      <c r="I158" s="9" t="s">
        <v>282</v>
      </c>
      <c r="J158" s="9" t="s">
        <v>283</v>
      </c>
      <c r="K158" s="9" t="s">
        <v>284</v>
      </c>
      <c r="L158" s="9" t="s">
        <v>2089</v>
      </c>
      <c r="M158" s="9" t="s">
        <v>2090</v>
      </c>
      <c r="N158" s="8">
        <v>1</v>
      </c>
      <c r="O158" s="9" t="s">
        <v>2091</v>
      </c>
      <c r="P158" s="11">
        <v>126.42</v>
      </c>
      <c r="Q158" s="11">
        <v>110</v>
      </c>
      <c r="R158" s="11">
        <v>110</v>
      </c>
      <c r="S158" s="11">
        <v>1301</v>
      </c>
      <c r="T158" s="11">
        <v>164472.42000000001</v>
      </c>
      <c r="U158" s="12">
        <v>5.3999999999999999E-2</v>
      </c>
      <c r="V158" s="12">
        <v>0.85599999999999998</v>
      </c>
      <c r="W158" s="11">
        <v>1293.5</v>
      </c>
      <c r="X158" s="9" t="s">
        <v>288</v>
      </c>
      <c r="Y158" s="10">
        <v>44739</v>
      </c>
      <c r="Z158" s="13">
        <v>0.12870000000000001</v>
      </c>
      <c r="AB158" t="b">
        <v>0</v>
      </c>
      <c r="AC158" s="9" t="s">
        <v>289</v>
      </c>
      <c r="AD158" s="9" t="s">
        <v>290</v>
      </c>
      <c r="AE158" s="8">
        <v>572.08284000000003</v>
      </c>
      <c r="AF158" s="14">
        <v>44.029049999999998</v>
      </c>
      <c r="AG158" s="14">
        <v>6.63225</v>
      </c>
      <c r="AH158" s="9" t="s">
        <v>483</v>
      </c>
      <c r="AI158" s="15" t="s">
        <v>319</v>
      </c>
      <c r="AJ158" s="9" t="s">
        <v>293</v>
      </c>
      <c r="AK158" s="9" t="s">
        <v>2092</v>
      </c>
      <c r="AL158" s="9" t="s">
        <v>2093</v>
      </c>
      <c r="AM158" s="9"/>
      <c r="AN158" s="9" t="s">
        <v>2094</v>
      </c>
      <c r="AO158" s="9"/>
      <c r="AP158" s="9" t="s">
        <v>43</v>
      </c>
      <c r="AQ158" s="9" t="s">
        <v>847</v>
      </c>
      <c r="AR158" t="b">
        <v>0</v>
      </c>
      <c r="AS158" s="10"/>
      <c r="AT158" s="10" t="s">
        <v>299</v>
      </c>
      <c r="AU158" s="9"/>
      <c r="AV158" t="b">
        <v>0</v>
      </c>
      <c r="AW158" s="12"/>
      <c r="AX158" s="11"/>
      <c r="AY158" s="9"/>
      <c r="AZ158" t="b">
        <v>0</v>
      </c>
      <c r="BA158" s="9"/>
      <c r="BB158" s="12"/>
      <c r="BC158" s="11"/>
      <c r="BD158" s="9" t="s">
        <v>300</v>
      </c>
      <c r="BE158" s="9" t="s">
        <v>301</v>
      </c>
      <c r="BF158" s="9" t="s">
        <v>356</v>
      </c>
      <c r="BG158" s="9" t="s">
        <v>967</v>
      </c>
      <c r="BH158" s="9" t="s">
        <v>304</v>
      </c>
      <c r="BI158" s="9" t="s">
        <v>943</v>
      </c>
      <c r="BJ158" s="9" t="s">
        <v>944</v>
      </c>
      <c r="BK158" s="11">
        <v>856</v>
      </c>
      <c r="BL158" s="16">
        <v>111.49614</v>
      </c>
      <c r="BM158" s="10">
        <v>45758</v>
      </c>
      <c r="BN158" s="10">
        <v>45792</v>
      </c>
      <c r="BO158" s="10"/>
      <c r="BP158" s="16"/>
      <c r="BQ158" s="16"/>
      <c r="BR158" s="9"/>
      <c r="BS158" s="9"/>
      <c r="BT158" s="9"/>
      <c r="BU158" s="9"/>
      <c r="BV158" s="9"/>
      <c r="BW158" s="10"/>
      <c r="BX158" s="15" t="s">
        <v>2095</v>
      </c>
      <c r="BY158" s="10"/>
      <c r="BZ158" s="10"/>
      <c r="CA158" s="10"/>
      <c r="CB158" t="b">
        <v>0</v>
      </c>
      <c r="CC158" s="9" t="s">
        <v>308</v>
      </c>
      <c r="CD158" s="9" t="s">
        <v>309</v>
      </c>
    </row>
    <row r="159" spans="1:82">
      <c r="A159" s="8">
        <v>30519</v>
      </c>
      <c r="B159" s="9" t="s">
        <v>2096</v>
      </c>
      <c r="C159" s="9" t="s">
        <v>1257</v>
      </c>
      <c r="D159" s="10">
        <v>45693</v>
      </c>
      <c r="E159" s="9" t="s">
        <v>2097</v>
      </c>
      <c r="F159" s="9" t="s">
        <v>2098</v>
      </c>
      <c r="G159" s="9" t="s">
        <v>2099</v>
      </c>
      <c r="H159" s="9" t="s">
        <v>281</v>
      </c>
      <c r="I159" s="9" t="s">
        <v>1771</v>
      </c>
      <c r="J159" s="9" t="s">
        <v>283</v>
      </c>
      <c r="K159" s="9" t="s">
        <v>284</v>
      </c>
      <c r="L159" s="9" t="s">
        <v>2100</v>
      </c>
      <c r="M159" s="9" t="s">
        <v>2101</v>
      </c>
      <c r="N159" s="8">
        <v>2</v>
      </c>
      <c r="O159" s="9" t="s">
        <v>2102</v>
      </c>
      <c r="P159" s="11">
        <v>499.69499999999999</v>
      </c>
      <c r="Q159" s="11">
        <v>440</v>
      </c>
      <c r="R159" s="11">
        <v>423.3</v>
      </c>
      <c r="S159" s="11">
        <v>1241.1199999999999</v>
      </c>
      <c r="T159" s="11">
        <v>620181.4584</v>
      </c>
      <c r="U159" s="12">
        <v>5.3999999999999999E-2</v>
      </c>
      <c r="V159" s="12">
        <v>0.85299999999999998</v>
      </c>
      <c r="W159" s="11">
        <v>1187.7</v>
      </c>
      <c r="X159" s="9" t="s">
        <v>288</v>
      </c>
      <c r="Y159" s="10">
        <v>45016</v>
      </c>
      <c r="Z159" s="13">
        <v>0.13109999999999999</v>
      </c>
      <c r="AB159" t="b">
        <v>0</v>
      </c>
      <c r="AC159" s="9" t="s">
        <v>289</v>
      </c>
      <c r="AD159" s="9" t="s">
        <v>290</v>
      </c>
      <c r="AE159" s="8">
        <v>2273.15</v>
      </c>
      <c r="AF159" s="14">
        <v>43.436329999999998</v>
      </c>
      <c r="AG159" s="14">
        <v>0.41121000000000002</v>
      </c>
      <c r="AH159" s="9" t="s">
        <v>483</v>
      </c>
      <c r="AI159" s="15" t="s">
        <v>319</v>
      </c>
      <c r="AJ159" s="9" t="s">
        <v>293</v>
      </c>
      <c r="AK159" s="9" t="s">
        <v>2103</v>
      </c>
      <c r="AL159" s="9" t="s">
        <v>2104</v>
      </c>
      <c r="AM159" s="9"/>
      <c r="AN159" s="9" t="s">
        <v>2105</v>
      </c>
      <c r="AO159" s="9"/>
      <c r="AP159" s="9" t="s">
        <v>43</v>
      </c>
      <c r="AQ159" s="9" t="s">
        <v>298</v>
      </c>
      <c r="AR159" t="b">
        <v>0</v>
      </c>
      <c r="AS159" s="10">
        <v>46022</v>
      </c>
      <c r="AT159" s="10">
        <v>46022</v>
      </c>
      <c r="AU159" s="9" t="s">
        <v>612</v>
      </c>
      <c r="AV159" t="b">
        <v>0</v>
      </c>
      <c r="AW159" s="12"/>
      <c r="AX159" s="11"/>
      <c r="AY159" s="9"/>
      <c r="AZ159" t="b">
        <v>0</v>
      </c>
      <c r="BA159" s="9"/>
      <c r="BB159" s="12"/>
      <c r="BC159" s="11"/>
      <c r="BD159" s="9" t="s">
        <v>325</v>
      </c>
      <c r="BE159" s="9" t="s">
        <v>47</v>
      </c>
      <c r="BF159" s="9" t="s">
        <v>1111</v>
      </c>
      <c r="BG159" s="9" t="s">
        <v>749</v>
      </c>
      <c r="BH159" s="9" t="s">
        <v>304</v>
      </c>
      <c r="BI159" s="9" t="s">
        <v>1267</v>
      </c>
      <c r="BJ159" s="9" t="s">
        <v>1268</v>
      </c>
      <c r="BK159" s="11">
        <v>856</v>
      </c>
      <c r="BL159" s="16">
        <v>248.48806500000001</v>
      </c>
      <c r="BM159" s="10">
        <v>45813</v>
      </c>
      <c r="BN159" s="10">
        <v>45825</v>
      </c>
      <c r="BO159" s="10"/>
      <c r="BP159" s="16"/>
      <c r="BQ159" s="16"/>
      <c r="BR159" s="9" t="s">
        <v>2106</v>
      </c>
      <c r="BS159" s="9" t="s">
        <v>2107</v>
      </c>
      <c r="BT159" s="9" t="s">
        <v>2099</v>
      </c>
      <c r="BU159" s="9" t="s">
        <v>2098</v>
      </c>
      <c r="BV159" s="9" t="s">
        <v>2108</v>
      </c>
      <c r="BW159" s="10"/>
      <c r="BX159" s="15" t="s">
        <v>2109</v>
      </c>
      <c r="BY159" s="10"/>
      <c r="BZ159" s="10"/>
      <c r="CA159" s="10"/>
      <c r="CB159" t="b">
        <v>0</v>
      </c>
      <c r="CC159" s="9" t="s">
        <v>308</v>
      </c>
      <c r="CD159" s="9" t="s">
        <v>309</v>
      </c>
    </row>
    <row r="160" spans="1:82">
      <c r="A160" s="8">
        <v>92908</v>
      </c>
      <c r="B160" s="9" t="s">
        <v>2110</v>
      </c>
      <c r="C160" s="9" t="s">
        <v>1257</v>
      </c>
      <c r="D160" s="10">
        <v>45691</v>
      </c>
      <c r="E160" s="9" t="s">
        <v>2111</v>
      </c>
      <c r="F160" s="9" t="s">
        <v>1129</v>
      </c>
      <c r="G160" s="9" t="s">
        <v>2112</v>
      </c>
      <c r="H160" s="9" t="s">
        <v>315</v>
      </c>
      <c r="I160" s="9" t="s">
        <v>282</v>
      </c>
      <c r="J160" s="9" t="s">
        <v>547</v>
      </c>
      <c r="K160" s="9" t="s">
        <v>284</v>
      </c>
      <c r="L160" s="9" t="s">
        <v>2113</v>
      </c>
      <c r="M160" s="9" t="s">
        <v>2114</v>
      </c>
      <c r="N160" s="8">
        <v>1</v>
      </c>
      <c r="O160" s="9" t="s">
        <v>2115</v>
      </c>
      <c r="P160" s="11">
        <v>106.8</v>
      </c>
      <c r="Q160" s="11">
        <v>110</v>
      </c>
      <c r="R160" s="11">
        <v>91.7</v>
      </c>
      <c r="S160" s="11">
        <v>1163</v>
      </c>
      <c r="T160" s="11">
        <v>124208.4</v>
      </c>
      <c r="U160" s="12">
        <v>5.2999999999999999E-2</v>
      </c>
      <c r="V160" s="12">
        <v>0.85299999999999998</v>
      </c>
      <c r="W160" s="11">
        <v>1131.7</v>
      </c>
      <c r="X160" s="9" t="s">
        <v>288</v>
      </c>
      <c r="Y160" s="10">
        <v>45009</v>
      </c>
      <c r="Z160" s="13">
        <v>0.1313</v>
      </c>
      <c r="AB160" t="b">
        <v>0</v>
      </c>
      <c r="AC160" s="9" t="s">
        <v>289</v>
      </c>
      <c r="AD160" s="9" t="s">
        <v>290</v>
      </c>
      <c r="AE160" s="8">
        <v>479.54592000000002</v>
      </c>
      <c r="AF160" s="14">
        <v>44.088160000000002</v>
      </c>
      <c r="AG160" s="14">
        <v>0.97326000000000001</v>
      </c>
      <c r="AH160" s="9" t="s">
        <v>483</v>
      </c>
      <c r="AI160" s="15" t="s">
        <v>319</v>
      </c>
      <c r="AJ160" s="9" t="s">
        <v>293</v>
      </c>
      <c r="AK160" s="9" t="s">
        <v>2116</v>
      </c>
      <c r="AL160" s="9" t="s">
        <v>2117</v>
      </c>
      <c r="AM160" s="9"/>
      <c r="AN160" s="9" t="s">
        <v>2118</v>
      </c>
      <c r="AO160" s="9"/>
      <c r="AP160" s="9" t="s">
        <v>371</v>
      </c>
      <c r="AQ160" s="9" t="s">
        <v>2119</v>
      </c>
      <c r="AR160" t="b">
        <v>1</v>
      </c>
      <c r="AS160" s="10">
        <v>46022</v>
      </c>
      <c r="AT160" s="10">
        <v>46022</v>
      </c>
      <c r="AU160" s="9" t="s">
        <v>1139</v>
      </c>
      <c r="AV160" t="b">
        <v>1</v>
      </c>
      <c r="AW160" s="12"/>
      <c r="AX160" s="11">
        <v>1800</v>
      </c>
      <c r="AY160" s="9" t="s">
        <v>471</v>
      </c>
      <c r="AZ160" t="b">
        <v>1</v>
      </c>
      <c r="BA160" s="9" t="s">
        <v>472</v>
      </c>
      <c r="BB160" s="12"/>
      <c r="BC160" s="11">
        <v>1800</v>
      </c>
      <c r="BD160" s="9" t="s">
        <v>325</v>
      </c>
      <c r="BE160" s="9" t="s">
        <v>47</v>
      </c>
      <c r="BF160" s="9" t="s">
        <v>373</v>
      </c>
      <c r="BG160" s="9" t="s">
        <v>749</v>
      </c>
      <c r="BH160" s="9" t="s">
        <v>304</v>
      </c>
      <c r="BI160" s="9" t="s">
        <v>1267</v>
      </c>
      <c r="BJ160" s="9" t="s">
        <v>1268</v>
      </c>
      <c r="BK160" s="11">
        <v>856</v>
      </c>
      <c r="BL160" s="16">
        <v>104.29559999999999</v>
      </c>
      <c r="BM160" s="10">
        <v>45707</v>
      </c>
      <c r="BN160" s="10">
        <v>45791</v>
      </c>
      <c r="BO160" s="10"/>
      <c r="BP160" s="16"/>
      <c r="BQ160" s="16"/>
      <c r="BR160" s="9" t="s">
        <v>2120</v>
      </c>
      <c r="BS160" s="9" t="s">
        <v>2121</v>
      </c>
      <c r="BT160" s="9" t="s">
        <v>2122</v>
      </c>
      <c r="BU160" s="9" t="s">
        <v>1129</v>
      </c>
      <c r="BV160" s="9" t="s">
        <v>2123</v>
      </c>
      <c r="BW160" s="10"/>
      <c r="BX160" s="15" t="s">
        <v>2124</v>
      </c>
      <c r="BY160" s="10"/>
      <c r="BZ160" s="10"/>
      <c r="CA160" s="10"/>
      <c r="CB160" t="b">
        <v>1</v>
      </c>
      <c r="CC160" s="9" t="s">
        <v>308</v>
      </c>
      <c r="CD160" s="9" t="s">
        <v>309</v>
      </c>
    </row>
    <row r="161" spans="1:82" ht="57.95">
      <c r="A161" s="8">
        <v>20614</v>
      </c>
      <c r="B161" s="9" t="s">
        <v>2125</v>
      </c>
      <c r="C161" s="9" t="s">
        <v>970</v>
      </c>
      <c r="D161" s="10">
        <v>45687</v>
      </c>
      <c r="E161" s="9" t="s">
        <v>2126</v>
      </c>
      <c r="F161" s="9" t="s">
        <v>2127</v>
      </c>
      <c r="G161" s="9" t="s">
        <v>2128</v>
      </c>
      <c r="H161" s="9" t="s">
        <v>281</v>
      </c>
      <c r="I161" s="9" t="s">
        <v>282</v>
      </c>
      <c r="J161" s="9" t="s">
        <v>283</v>
      </c>
      <c r="K161" s="9" t="s">
        <v>284</v>
      </c>
      <c r="L161" s="9" t="s">
        <v>2129</v>
      </c>
      <c r="M161" s="9" t="s">
        <v>2130</v>
      </c>
      <c r="N161" s="8">
        <v>1</v>
      </c>
      <c r="O161" s="9" t="s">
        <v>2131</v>
      </c>
      <c r="P161" s="11">
        <v>278.64</v>
      </c>
      <c r="Q161" s="11">
        <v>250</v>
      </c>
      <c r="R161" s="11">
        <v>249</v>
      </c>
      <c r="S161" s="11">
        <v>1100</v>
      </c>
      <c r="T161" s="11">
        <v>306504</v>
      </c>
      <c r="U161" s="12">
        <v>5.3999999999999999E-2</v>
      </c>
      <c r="V161" s="12">
        <v>0.86099999999999999</v>
      </c>
      <c r="W161" s="11">
        <v>1108.3</v>
      </c>
      <c r="X161" s="9" t="s">
        <v>288</v>
      </c>
      <c r="Y161" s="10">
        <v>44965</v>
      </c>
      <c r="Z161" s="13">
        <v>0.13120000000000001</v>
      </c>
      <c r="AB161" t="b">
        <v>0</v>
      </c>
      <c r="AC161" s="9" t="s">
        <v>289</v>
      </c>
      <c r="AD161" s="9" t="s">
        <v>290</v>
      </c>
      <c r="AE161" s="8">
        <v>1260.9172799999999</v>
      </c>
      <c r="AF161" s="14">
        <v>48.107174000000001</v>
      </c>
      <c r="AG161" s="14">
        <v>3.1205349999999998</v>
      </c>
      <c r="AH161" s="9" t="s">
        <v>483</v>
      </c>
      <c r="AI161" s="15" t="s">
        <v>396</v>
      </c>
      <c r="AJ161" s="9" t="s">
        <v>293</v>
      </c>
      <c r="AK161" s="9" t="s">
        <v>2132</v>
      </c>
      <c r="AL161" s="9" t="s">
        <v>2133</v>
      </c>
      <c r="AM161" s="9"/>
      <c r="AN161" s="9" t="s">
        <v>2134</v>
      </c>
      <c r="AO161" s="9"/>
      <c r="AP161" s="9" t="s">
        <v>43</v>
      </c>
      <c r="AQ161" s="9" t="s">
        <v>847</v>
      </c>
      <c r="AR161" t="b">
        <v>0</v>
      </c>
      <c r="AS161" s="10"/>
      <c r="AT161" s="10" t="s">
        <v>299</v>
      </c>
      <c r="AU161" s="9"/>
      <c r="AV161" t="b">
        <v>0</v>
      </c>
      <c r="AW161" s="12"/>
      <c r="AX161" s="11"/>
      <c r="AY161" s="9"/>
      <c r="AZ161" t="b">
        <v>0</v>
      </c>
      <c r="BA161" s="9"/>
      <c r="BB161" s="12"/>
      <c r="BC161" s="11"/>
      <c r="BD161" s="9" t="s">
        <v>300</v>
      </c>
      <c r="BE161" s="9" t="s">
        <v>301</v>
      </c>
      <c r="BF161" s="9" t="s">
        <v>302</v>
      </c>
      <c r="BG161" s="9" t="s">
        <v>303</v>
      </c>
      <c r="BH161" s="9" t="s">
        <v>304</v>
      </c>
      <c r="BI161" s="9" t="s">
        <v>981</v>
      </c>
      <c r="BJ161" s="9" t="s">
        <v>982</v>
      </c>
      <c r="BK161" s="11">
        <v>856</v>
      </c>
      <c r="BL161" s="16">
        <v>167.36088000000001</v>
      </c>
      <c r="BM161" s="10">
        <v>45705</v>
      </c>
      <c r="BN161" s="10">
        <v>45792</v>
      </c>
      <c r="BO161" s="10"/>
      <c r="BP161" s="16"/>
      <c r="BQ161" s="16"/>
      <c r="BR161" s="9"/>
      <c r="BS161" s="9"/>
      <c r="BT161" s="9"/>
      <c r="BU161" s="9"/>
      <c r="BV161" s="9"/>
      <c r="BW161" s="10"/>
      <c r="BX161" s="15" t="s">
        <v>2135</v>
      </c>
      <c r="BY161" s="10"/>
      <c r="BZ161" s="10"/>
      <c r="CA161" s="10"/>
      <c r="CB161" t="b">
        <v>0</v>
      </c>
      <c r="CC161" s="9" t="s">
        <v>308</v>
      </c>
      <c r="CD161" s="9" t="s">
        <v>309</v>
      </c>
    </row>
    <row r="162" spans="1:82">
      <c r="A162" s="8">
        <v>60830</v>
      </c>
      <c r="B162" s="9" t="s">
        <v>2136</v>
      </c>
      <c r="C162" s="9" t="s">
        <v>970</v>
      </c>
      <c r="D162" s="10">
        <v>45687</v>
      </c>
      <c r="E162" s="9" t="s">
        <v>2137</v>
      </c>
      <c r="F162" s="9" t="s">
        <v>391</v>
      </c>
      <c r="G162" s="9" t="s">
        <v>863</v>
      </c>
      <c r="H162" s="9" t="s">
        <v>281</v>
      </c>
      <c r="I162" s="9" t="s">
        <v>282</v>
      </c>
      <c r="J162" s="9" t="s">
        <v>283</v>
      </c>
      <c r="K162" s="9" t="s">
        <v>284</v>
      </c>
      <c r="L162" s="9" t="s">
        <v>2138</v>
      </c>
      <c r="M162" s="9" t="s">
        <v>2139</v>
      </c>
      <c r="N162" s="8">
        <v>1</v>
      </c>
      <c r="O162" s="9" t="s">
        <v>2140</v>
      </c>
      <c r="P162" s="11">
        <v>232.2</v>
      </c>
      <c r="Q162" s="11">
        <v>220</v>
      </c>
      <c r="R162" s="11">
        <v>190</v>
      </c>
      <c r="S162" s="11">
        <v>1198</v>
      </c>
      <c r="T162" s="11">
        <v>278175.59999999998</v>
      </c>
      <c r="U162" s="12">
        <v>5.3999999999999999E-2</v>
      </c>
      <c r="V162" s="12">
        <v>0.85599999999999998</v>
      </c>
      <c r="W162" s="11">
        <v>1175.5</v>
      </c>
      <c r="X162" s="9" t="s">
        <v>288</v>
      </c>
      <c r="Y162" s="10">
        <v>44712</v>
      </c>
      <c r="Z162" s="13">
        <v>0.12870000000000001</v>
      </c>
      <c r="AA162" t="b">
        <v>1</v>
      </c>
      <c r="AB162" t="b">
        <v>0</v>
      </c>
      <c r="AC162" s="9" t="s">
        <v>289</v>
      </c>
      <c r="AD162" s="9" t="s">
        <v>290</v>
      </c>
      <c r="AE162" s="8">
        <v>1050.7644</v>
      </c>
      <c r="AF162" s="14">
        <v>46.628737999999998</v>
      </c>
      <c r="AG162" s="14">
        <v>3.5850840000000002</v>
      </c>
      <c r="AH162" s="9" t="s">
        <v>483</v>
      </c>
      <c r="AI162" s="15" t="s">
        <v>319</v>
      </c>
      <c r="AJ162" s="9" t="s">
        <v>293</v>
      </c>
      <c r="AK162" s="9" t="s">
        <v>2141</v>
      </c>
      <c r="AL162" s="9" t="s">
        <v>2142</v>
      </c>
      <c r="AM162" s="9"/>
      <c r="AN162" s="9" t="s">
        <v>2143</v>
      </c>
      <c r="AO162" s="9"/>
      <c r="AP162" s="9" t="s">
        <v>43</v>
      </c>
      <c r="AQ162" s="9" t="s">
        <v>847</v>
      </c>
      <c r="AR162" t="b">
        <v>0</v>
      </c>
      <c r="AS162" s="10"/>
      <c r="AT162" s="10" t="s">
        <v>299</v>
      </c>
      <c r="AU162" s="9"/>
      <c r="AV162" t="b">
        <v>0</v>
      </c>
      <c r="AW162" s="12"/>
      <c r="AX162" s="11"/>
      <c r="AY162" s="9"/>
      <c r="AZ162" t="b">
        <v>0</v>
      </c>
      <c r="BA162" s="9"/>
      <c r="BB162" s="12"/>
      <c r="BC162" s="11"/>
      <c r="BD162" s="9" t="s">
        <v>300</v>
      </c>
      <c r="BE162" s="9" t="s">
        <v>301</v>
      </c>
      <c r="BF162" s="9" t="s">
        <v>356</v>
      </c>
      <c r="BG162" s="9" t="s">
        <v>303</v>
      </c>
      <c r="BH162" s="9" t="s">
        <v>304</v>
      </c>
      <c r="BI162" s="9" t="s">
        <v>981</v>
      </c>
      <c r="BJ162" s="9" t="s">
        <v>982</v>
      </c>
      <c r="BK162" s="11">
        <v>856</v>
      </c>
      <c r="BL162" s="16">
        <v>150.31739999999999</v>
      </c>
      <c r="BM162" s="10">
        <v>45718</v>
      </c>
      <c r="BN162" s="10">
        <v>45741</v>
      </c>
      <c r="BO162" s="10"/>
      <c r="BP162" s="16"/>
      <c r="BQ162" s="16"/>
      <c r="BR162" s="9" t="s">
        <v>2144</v>
      </c>
      <c r="BS162" s="9" t="s">
        <v>2137</v>
      </c>
      <c r="BT162" s="9" t="s">
        <v>1584</v>
      </c>
      <c r="BU162" s="9" t="s">
        <v>391</v>
      </c>
      <c r="BV162" s="9"/>
      <c r="BW162" s="10"/>
      <c r="BX162" s="15" t="s">
        <v>2145</v>
      </c>
      <c r="BY162" s="10"/>
      <c r="BZ162" s="10"/>
      <c r="CA162" s="10"/>
      <c r="CB162" t="b">
        <v>0</v>
      </c>
      <c r="CC162" s="9" t="s">
        <v>308</v>
      </c>
      <c r="CD162" s="9" t="s">
        <v>309</v>
      </c>
    </row>
    <row r="163" spans="1:82">
      <c r="A163" s="8">
        <v>14300</v>
      </c>
      <c r="B163" s="9" t="s">
        <v>2146</v>
      </c>
      <c r="C163" s="9" t="s">
        <v>1257</v>
      </c>
      <c r="D163" s="10">
        <v>45685</v>
      </c>
      <c r="E163" s="9" t="s">
        <v>2147</v>
      </c>
      <c r="F163" s="9" t="s">
        <v>545</v>
      </c>
      <c r="G163" s="9" t="s">
        <v>2148</v>
      </c>
      <c r="H163" s="9" t="s">
        <v>281</v>
      </c>
      <c r="I163" s="9" t="s">
        <v>282</v>
      </c>
      <c r="J163" s="9" t="s">
        <v>283</v>
      </c>
      <c r="K163" s="9" t="s">
        <v>284</v>
      </c>
      <c r="L163" s="9" t="s">
        <v>2149</v>
      </c>
      <c r="M163" s="9" t="s">
        <v>2150</v>
      </c>
      <c r="N163" s="8">
        <v>1</v>
      </c>
      <c r="O163" s="9" t="s">
        <v>2151</v>
      </c>
      <c r="P163" s="11">
        <v>304.38</v>
      </c>
      <c r="Q163" s="11">
        <v>250</v>
      </c>
      <c r="R163" s="11">
        <v>249.9</v>
      </c>
      <c r="S163" s="11">
        <v>1208</v>
      </c>
      <c r="T163" s="11">
        <v>367691.04</v>
      </c>
      <c r="U163" s="12">
        <v>5.3999999999999999E-2</v>
      </c>
      <c r="V163" s="12">
        <v>0.86699999999999999</v>
      </c>
      <c r="W163" s="11">
        <v>1215.5</v>
      </c>
      <c r="X163" s="9" t="s">
        <v>288</v>
      </c>
      <c r="Y163" s="10">
        <v>45005</v>
      </c>
      <c r="Z163" s="13">
        <v>0.1313</v>
      </c>
      <c r="AB163" t="b">
        <v>0</v>
      </c>
      <c r="AC163" s="9" t="s">
        <v>289</v>
      </c>
      <c r="AD163" s="9" t="s">
        <v>290</v>
      </c>
      <c r="AE163" s="8">
        <v>1366.7059999999999</v>
      </c>
      <c r="AF163" s="14">
        <v>44.995669999999997</v>
      </c>
      <c r="AG163" s="14">
        <v>2.9746100000000002</v>
      </c>
      <c r="AH163" s="9" t="s">
        <v>483</v>
      </c>
      <c r="AI163" s="15" t="s">
        <v>319</v>
      </c>
      <c r="AJ163" s="9" t="s">
        <v>293</v>
      </c>
      <c r="AK163" s="9" t="s">
        <v>2152</v>
      </c>
      <c r="AL163" s="9" t="s">
        <v>2153</v>
      </c>
      <c r="AM163" s="9"/>
      <c r="AN163" s="9" t="s">
        <v>2154</v>
      </c>
      <c r="AO163" s="9"/>
      <c r="AP163" s="9" t="s">
        <v>323</v>
      </c>
      <c r="AQ163" s="9" t="s">
        <v>372</v>
      </c>
      <c r="AR163" t="b">
        <v>0</v>
      </c>
      <c r="AS163" s="10"/>
      <c r="AT163" s="10" t="s">
        <v>299</v>
      </c>
      <c r="AU163" s="9"/>
      <c r="AV163" t="b">
        <v>0</v>
      </c>
      <c r="AW163" s="12"/>
      <c r="AX163" s="11"/>
      <c r="AY163" s="9"/>
      <c r="AZ163" t="b">
        <v>0</v>
      </c>
      <c r="BA163" s="9"/>
      <c r="BB163" s="12"/>
      <c r="BC163" s="11"/>
      <c r="BD163" s="9" t="s">
        <v>325</v>
      </c>
      <c r="BE163" s="9" t="s">
        <v>47</v>
      </c>
      <c r="BF163" s="9" t="s">
        <v>702</v>
      </c>
      <c r="BG163" s="9" t="s">
        <v>738</v>
      </c>
      <c r="BH163" s="9" t="s">
        <v>304</v>
      </c>
      <c r="BI163" s="9" t="s">
        <v>1267</v>
      </c>
      <c r="BJ163" s="9" t="s">
        <v>1268</v>
      </c>
      <c r="BK163" s="11">
        <v>856</v>
      </c>
      <c r="BL163" s="16">
        <v>176.80745999999999</v>
      </c>
      <c r="BM163" s="10">
        <v>45701</v>
      </c>
      <c r="BN163" s="10">
        <v>45748</v>
      </c>
      <c r="BO163" s="10"/>
      <c r="BP163" s="16"/>
      <c r="BQ163" s="16"/>
      <c r="BR163" s="9"/>
      <c r="BS163" s="9"/>
      <c r="BT163" s="9"/>
      <c r="BU163" s="9"/>
      <c r="BV163" s="9"/>
      <c r="BW163" s="10"/>
      <c r="BX163" s="15" t="s">
        <v>2155</v>
      </c>
      <c r="BY163" s="10"/>
      <c r="BZ163" s="10"/>
      <c r="CA163" s="10"/>
      <c r="CB163" t="b">
        <v>0</v>
      </c>
      <c r="CC163" s="9" t="s">
        <v>308</v>
      </c>
      <c r="CD163" s="9" t="s">
        <v>309</v>
      </c>
    </row>
    <row r="164" spans="1:82">
      <c r="A164" s="8">
        <v>29887</v>
      </c>
      <c r="B164" s="9" t="s">
        <v>2156</v>
      </c>
      <c r="C164" s="9" t="s">
        <v>1204</v>
      </c>
      <c r="D164" s="10">
        <v>45684</v>
      </c>
      <c r="E164" s="9" t="s">
        <v>2157</v>
      </c>
      <c r="F164" s="9" t="s">
        <v>2158</v>
      </c>
      <c r="G164" s="9" t="s">
        <v>2159</v>
      </c>
      <c r="H164" s="9" t="s">
        <v>281</v>
      </c>
      <c r="I164" s="9" t="s">
        <v>282</v>
      </c>
      <c r="J164" s="9" t="s">
        <v>283</v>
      </c>
      <c r="K164" s="9" t="s">
        <v>284</v>
      </c>
      <c r="L164" s="9" t="s">
        <v>2160</v>
      </c>
      <c r="M164" s="9" t="s">
        <v>2161</v>
      </c>
      <c r="N164" s="8">
        <v>2</v>
      </c>
      <c r="O164" s="9" t="s">
        <v>2162</v>
      </c>
      <c r="P164" s="11">
        <v>393.38</v>
      </c>
      <c r="Q164" s="11">
        <v>230</v>
      </c>
      <c r="R164" s="11">
        <v>325.2</v>
      </c>
      <c r="S164" s="11">
        <v>1207</v>
      </c>
      <c r="T164" s="11">
        <v>474809.66</v>
      </c>
      <c r="U164" s="12">
        <v>5.2999999999999999E-2</v>
      </c>
      <c r="V164" s="12">
        <v>0.84699999999999998</v>
      </c>
      <c r="W164" s="11">
        <v>1255.7</v>
      </c>
      <c r="X164" s="9" t="s">
        <v>288</v>
      </c>
      <c r="Y164" s="10">
        <v>44844</v>
      </c>
      <c r="Z164" s="13">
        <v>0.13120000000000001</v>
      </c>
      <c r="AA164" t="b">
        <v>1</v>
      </c>
      <c r="AB164" t="b">
        <v>0</v>
      </c>
      <c r="AC164" s="9" t="s">
        <v>289</v>
      </c>
      <c r="AD164" s="9" t="s">
        <v>290</v>
      </c>
      <c r="AE164" s="8">
        <v>1766.32</v>
      </c>
      <c r="AF164" s="14">
        <v>45.476179999999999</v>
      </c>
      <c r="AG164" s="14">
        <v>4.97872</v>
      </c>
      <c r="AH164" s="9" t="s">
        <v>483</v>
      </c>
      <c r="AI164" s="15" t="s">
        <v>396</v>
      </c>
      <c r="AJ164" s="9" t="s">
        <v>293</v>
      </c>
      <c r="AK164" s="9" t="s">
        <v>2163</v>
      </c>
      <c r="AL164" s="9" t="s">
        <v>2164</v>
      </c>
      <c r="AM164" s="9"/>
      <c r="AN164" s="9" t="s">
        <v>2165</v>
      </c>
      <c r="AO164" s="9"/>
      <c r="AP164" s="9" t="s">
        <v>43</v>
      </c>
      <c r="AQ164" s="9" t="s">
        <v>847</v>
      </c>
      <c r="AR164" t="b">
        <v>0</v>
      </c>
      <c r="AS164" s="10"/>
      <c r="AT164" s="10" t="s">
        <v>299</v>
      </c>
      <c r="AU164" s="9"/>
      <c r="AV164" t="b">
        <v>0</v>
      </c>
      <c r="AW164" s="12"/>
      <c r="AX164" s="11"/>
      <c r="AY164" s="9"/>
      <c r="AZ164" t="b">
        <v>0</v>
      </c>
      <c r="BA164" s="9"/>
      <c r="BB164" s="12"/>
      <c r="BC164" s="11"/>
      <c r="BD164" s="9" t="s">
        <v>300</v>
      </c>
      <c r="BE164" s="9" t="s">
        <v>86</v>
      </c>
      <c r="BF164" s="9" t="s">
        <v>690</v>
      </c>
      <c r="BG164" s="9" t="s">
        <v>967</v>
      </c>
      <c r="BH164" s="9" t="s">
        <v>304</v>
      </c>
      <c r="BI164" s="9" t="s">
        <v>1213</v>
      </c>
      <c r="BJ164" s="9" t="s">
        <v>1214</v>
      </c>
      <c r="BK164" s="11">
        <v>856</v>
      </c>
      <c r="BL164" s="16">
        <v>209.47046</v>
      </c>
      <c r="BM164" s="10">
        <v>45714</v>
      </c>
      <c r="BN164" s="10">
        <v>45792</v>
      </c>
      <c r="BO164" s="10"/>
      <c r="BP164" s="16"/>
      <c r="BQ164" s="16"/>
      <c r="BR164" s="9"/>
      <c r="BS164" s="9"/>
      <c r="BT164" s="9"/>
      <c r="BU164" s="9"/>
      <c r="BV164" s="9"/>
      <c r="BW164" s="10"/>
      <c r="BX164" s="15" t="s">
        <v>2109</v>
      </c>
      <c r="BY164" s="10"/>
      <c r="BZ164" s="10"/>
      <c r="CA164" s="10"/>
      <c r="CB164" t="b">
        <v>0</v>
      </c>
      <c r="CC164" s="9" t="s">
        <v>308</v>
      </c>
      <c r="CD164" s="9" t="s">
        <v>309</v>
      </c>
    </row>
    <row r="165" spans="1:82">
      <c r="A165" s="8">
        <v>87688</v>
      </c>
      <c r="B165" s="9" t="s">
        <v>2166</v>
      </c>
      <c r="C165" s="9" t="s">
        <v>628</v>
      </c>
      <c r="D165" s="10">
        <v>45684</v>
      </c>
      <c r="E165" s="9" t="s">
        <v>2167</v>
      </c>
      <c r="F165" s="9" t="s">
        <v>2168</v>
      </c>
      <c r="G165" s="9" t="s">
        <v>2169</v>
      </c>
      <c r="H165" s="9" t="s">
        <v>281</v>
      </c>
      <c r="I165" s="9" t="s">
        <v>282</v>
      </c>
      <c r="J165" s="9" t="s">
        <v>283</v>
      </c>
      <c r="K165" s="9" t="s">
        <v>284</v>
      </c>
      <c r="L165" s="9" t="s">
        <v>2170</v>
      </c>
      <c r="M165" s="9" t="s">
        <v>2171</v>
      </c>
      <c r="N165" s="8">
        <v>1</v>
      </c>
      <c r="O165" s="9" t="s">
        <v>2172</v>
      </c>
      <c r="P165" s="11">
        <v>307.58</v>
      </c>
      <c r="Q165" s="11">
        <v>250</v>
      </c>
      <c r="R165" s="11">
        <v>249.9</v>
      </c>
      <c r="S165" s="11">
        <v>1277</v>
      </c>
      <c r="T165" s="11">
        <v>392779.66</v>
      </c>
      <c r="U165" s="12">
        <v>5.3999999999999999E-2</v>
      </c>
      <c r="V165" s="12">
        <v>0.83097600000000005</v>
      </c>
      <c r="W165" s="11">
        <v>1188.1780000000001</v>
      </c>
      <c r="X165" s="9" t="s">
        <v>288</v>
      </c>
      <c r="Y165" s="10">
        <v>45144</v>
      </c>
      <c r="Z165" s="13">
        <v>0.12379999999999999</v>
      </c>
      <c r="AB165" t="b">
        <v>0</v>
      </c>
      <c r="AC165" s="9" t="s">
        <v>289</v>
      </c>
      <c r="AD165" s="9" t="s">
        <v>290</v>
      </c>
      <c r="AE165" s="8">
        <v>1350.72101</v>
      </c>
      <c r="AF165" s="14">
        <v>45.308160000000001</v>
      </c>
      <c r="AG165" s="14">
        <v>5.5422500000000001</v>
      </c>
      <c r="AH165" s="9" t="s">
        <v>524</v>
      </c>
      <c r="AI165" s="15" t="s">
        <v>396</v>
      </c>
      <c r="AJ165" s="9" t="s">
        <v>293</v>
      </c>
      <c r="AK165" s="9" t="s">
        <v>2173</v>
      </c>
      <c r="AL165" s="9" t="s">
        <v>2174</v>
      </c>
      <c r="AM165" s="9"/>
      <c r="AN165" s="9" t="s">
        <v>2175</v>
      </c>
      <c r="AO165" s="9"/>
      <c r="AP165" s="9" t="s">
        <v>139</v>
      </c>
      <c r="AQ165" s="9" t="s">
        <v>355</v>
      </c>
      <c r="AR165" t="b">
        <v>0</v>
      </c>
      <c r="AS165" s="10"/>
      <c r="AT165" s="10" t="s">
        <v>299</v>
      </c>
      <c r="AU165" s="9"/>
      <c r="AV165" t="b">
        <v>0</v>
      </c>
      <c r="AW165" s="12"/>
      <c r="AX165" s="11"/>
      <c r="AY165" s="9"/>
      <c r="AZ165" t="b">
        <v>0</v>
      </c>
      <c r="BA165" s="9"/>
      <c r="BB165" s="12"/>
      <c r="BC165" s="11"/>
      <c r="BD165" s="9" t="s">
        <v>300</v>
      </c>
      <c r="BE165" s="9" t="s">
        <v>47</v>
      </c>
      <c r="BF165" s="9" t="s">
        <v>402</v>
      </c>
      <c r="BG165" s="9" t="s">
        <v>967</v>
      </c>
      <c r="BH165" s="9" t="s">
        <v>304</v>
      </c>
      <c r="BI165" s="9" t="s">
        <v>638</v>
      </c>
      <c r="BJ165" s="9" t="s">
        <v>639</v>
      </c>
      <c r="BK165" s="11">
        <v>856</v>
      </c>
      <c r="BL165" s="16">
        <v>184.28185999999999</v>
      </c>
      <c r="BM165" s="10"/>
      <c r="BN165" s="10"/>
      <c r="BO165" s="10"/>
      <c r="BP165" s="16"/>
      <c r="BQ165" s="16"/>
      <c r="BR165" s="9"/>
      <c r="BS165" s="9"/>
      <c r="BT165" s="9"/>
      <c r="BU165" s="9"/>
      <c r="BV165" s="9"/>
      <c r="BW165" s="10"/>
      <c r="BX165" s="15" t="s">
        <v>1417</v>
      </c>
      <c r="BY165" s="10"/>
      <c r="BZ165" s="10"/>
      <c r="CA165" s="10"/>
      <c r="CB165" t="b">
        <v>0</v>
      </c>
      <c r="CC165" s="9" t="s">
        <v>308</v>
      </c>
      <c r="CD165" s="9" t="s">
        <v>309</v>
      </c>
    </row>
    <row r="166" spans="1:82">
      <c r="A166" s="8">
        <v>82716</v>
      </c>
      <c r="B166" s="9" t="s">
        <v>2176</v>
      </c>
      <c r="C166" s="9" t="s">
        <v>1257</v>
      </c>
      <c r="D166" s="10">
        <v>45681</v>
      </c>
      <c r="E166" s="9" t="s">
        <v>2177</v>
      </c>
      <c r="F166" s="9" t="s">
        <v>2178</v>
      </c>
      <c r="G166" s="9" t="s">
        <v>2179</v>
      </c>
      <c r="H166" s="9" t="s">
        <v>281</v>
      </c>
      <c r="I166" s="9" t="s">
        <v>282</v>
      </c>
      <c r="J166" s="9" t="s">
        <v>283</v>
      </c>
      <c r="K166" s="9" t="s">
        <v>284</v>
      </c>
      <c r="L166" s="9" t="s">
        <v>2180</v>
      </c>
      <c r="M166" s="9" t="s">
        <v>2181</v>
      </c>
      <c r="N166" s="8">
        <v>1</v>
      </c>
      <c r="O166" s="9" t="s">
        <v>2182</v>
      </c>
      <c r="P166" s="11">
        <v>302.60000000000002</v>
      </c>
      <c r="Q166" s="11">
        <v>250</v>
      </c>
      <c r="R166" s="11">
        <v>249.9</v>
      </c>
      <c r="S166" s="11">
        <v>1157</v>
      </c>
      <c r="T166" s="11">
        <v>350108.2</v>
      </c>
      <c r="U166" s="12">
        <v>5.2999999999999999E-2</v>
      </c>
      <c r="V166" s="12">
        <v>0.85299999999999998</v>
      </c>
      <c r="W166" s="11">
        <v>1122.4000000000001</v>
      </c>
      <c r="X166" s="9" t="s">
        <v>288</v>
      </c>
      <c r="Y166" s="10">
        <v>44991</v>
      </c>
      <c r="Z166" s="13">
        <v>0.1313</v>
      </c>
      <c r="AB166" t="b">
        <v>0</v>
      </c>
      <c r="AC166" s="9" t="s">
        <v>289</v>
      </c>
      <c r="AD166" s="9" t="s">
        <v>290</v>
      </c>
      <c r="AE166" s="8">
        <v>1358.71344</v>
      </c>
      <c r="AF166" s="14">
        <v>44.845267</v>
      </c>
      <c r="AG166" s="14">
        <v>0.82990799999999998</v>
      </c>
      <c r="AH166" s="9" t="s">
        <v>483</v>
      </c>
      <c r="AI166" s="15" t="s">
        <v>319</v>
      </c>
      <c r="AJ166" s="9" t="s">
        <v>293</v>
      </c>
      <c r="AK166" s="9" t="s">
        <v>2183</v>
      </c>
      <c r="AL166" s="9" t="s">
        <v>2184</v>
      </c>
      <c r="AM166" s="9"/>
      <c r="AN166" s="9" t="s">
        <v>2185</v>
      </c>
      <c r="AO166" s="9"/>
      <c r="AP166" s="9" t="s">
        <v>2186</v>
      </c>
      <c r="AQ166" s="9" t="s">
        <v>372</v>
      </c>
      <c r="AR166" t="b">
        <v>0</v>
      </c>
      <c r="AS166" s="10"/>
      <c r="AT166" s="10" t="s">
        <v>299</v>
      </c>
      <c r="AU166" s="9"/>
      <c r="AV166" t="b">
        <v>0</v>
      </c>
      <c r="AW166" s="12"/>
      <c r="AX166" s="11"/>
      <c r="AY166" s="9"/>
      <c r="AZ166" t="b">
        <v>0</v>
      </c>
      <c r="BA166" s="9"/>
      <c r="BB166" s="12"/>
      <c r="BC166" s="11"/>
      <c r="BD166" s="9" t="s">
        <v>325</v>
      </c>
      <c r="BE166" s="9" t="s">
        <v>47</v>
      </c>
      <c r="BF166" s="9" t="s">
        <v>373</v>
      </c>
      <c r="BG166" s="9" t="s">
        <v>749</v>
      </c>
      <c r="BH166" s="9" t="s">
        <v>304</v>
      </c>
      <c r="BI166" s="9" t="s">
        <v>1267</v>
      </c>
      <c r="BJ166" s="9" t="s">
        <v>1268</v>
      </c>
      <c r="BK166" s="11">
        <v>856</v>
      </c>
      <c r="BL166" s="16">
        <v>176.1542</v>
      </c>
      <c r="BM166" s="10">
        <v>45697</v>
      </c>
      <c r="BN166" s="10">
        <v>45791</v>
      </c>
      <c r="BO166" s="10"/>
      <c r="BP166" s="16"/>
      <c r="BQ166" s="16"/>
      <c r="BR166" s="9"/>
      <c r="BS166" s="9"/>
      <c r="BT166" s="9"/>
      <c r="BU166" s="9"/>
      <c r="BV166" s="9"/>
      <c r="BW166" s="10"/>
      <c r="BX166" s="15" t="s">
        <v>2187</v>
      </c>
      <c r="BY166" s="10"/>
      <c r="BZ166" s="10"/>
      <c r="CA166" s="10"/>
      <c r="CB166" t="b">
        <v>0</v>
      </c>
      <c r="CC166" s="9" t="s">
        <v>308</v>
      </c>
      <c r="CD166" s="9" t="s">
        <v>309</v>
      </c>
    </row>
    <row r="167" spans="1:82" ht="43.5">
      <c r="A167" s="8">
        <v>58244</v>
      </c>
      <c r="B167" s="9" t="s">
        <v>2188</v>
      </c>
      <c r="C167" s="9" t="s">
        <v>932</v>
      </c>
      <c r="D167" s="10">
        <v>45677</v>
      </c>
      <c r="E167" s="9" t="s">
        <v>2189</v>
      </c>
      <c r="F167" s="9" t="s">
        <v>2190</v>
      </c>
      <c r="G167" s="9" t="s">
        <v>2191</v>
      </c>
      <c r="H167" s="9" t="s">
        <v>281</v>
      </c>
      <c r="I167" s="9" t="s">
        <v>282</v>
      </c>
      <c r="J167" s="9" t="s">
        <v>283</v>
      </c>
      <c r="K167" s="9" t="s">
        <v>284</v>
      </c>
      <c r="L167" s="9" t="s">
        <v>2192</v>
      </c>
      <c r="M167" s="9" t="s">
        <v>2193</v>
      </c>
      <c r="N167" s="8">
        <v>1</v>
      </c>
      <c r="O167" s="9" t="s">
        <v>2194</v>
      </c>
      <c r="P167" s="11">
        <v>223.6</v>
      </c>
      <c r="Q167" s="11">
        <v>210</v>
      </c>
      <c r="R167" s="11">
        <v>220</v>
      </c>
      <c r="S167" s="11">
        <v>1223</v>
      </c>
      <c r="T167" s="11">
        <v>273462.8</v>
      </c>
      <c r="U167" s="12">
        <v>5.3999999999999999E-2</v>
      </c>
      <c r="V167" s="12">
        <v>0.85499999999999998</v>
      </c>
      <c r="W167" s="11">
        <v>1184.3</v>
      </c>
      <c r="X167" s="9" t="s">
        <v>288</v>
      </c>
      <c r="Y167" s="10">
        <v>44984</v>
      </c>
      <c r="Z167" s="13">
        <v>0.13120000000000001</v>
      </c>
      <c r="AB167" t="b">
        <v>0</v>
      </c>
      <c r="AC167" s="9" t="s">
        <v>289</v>
      </c>
      <c r="AD167" s="9" t="s">
        <v>290</v>
      </c>
      <c r="AE167" s="8">
        <v>1049.2560000000001</v>
      </c>
      <c r="AF167" s="14">
        <v>44.104129999999998</v>
      </c>
      <c r="AG167" s="14">
        <v>2.3789799999999999</v>
      </c>
      <c r="AH167" s="9" t="s">
        <v>483</v>
      </c>
      <c r="AI167" s="15" t="s">
        <v>319</v>
      </c>
      <c r="AJ167" s="9" t="s">
        <v>293</v>
      </c>
      <c r="AK167" s="9" t="s">
        <v>2195</v>
      </c>
      <c r="AL167" s="9" t="s">
        <v>2196</v>
      </c>
      <c r="AM167" s="9"/>
      <c r="AN167" s="9" t="s">
        <v>2197</v>
      </c>
      <c r="AO167" s="9"/>
      <c r="AP167" s="9" t="s">
        <v>93</v>
      </c>
      <c r="AQ167" s="9" t="s">
        <v>372</v>
      </c>
      <c r="AR167" t="b">
        <v>0</v>
      </c>
      <c r="AS167" s="10"/>
      <c r="AT167" s="10" t="s">
        <v>299</v>
      </c>
      <c r="AU167" s="9"/>
      <c r="AV167" t="b">
        <v>0</v>
      </c>
      <c r="AW167" s="12"/>
      <c r="AX167" s="11"/>
      <c r="AY167" s="9"/>
      <c r="AZ167" t="b">
        <v>0</v>
      </c>
      <c r="BA167" s="9"/>
      <c r="BB167" s="12"/>
      <c r="BC167" s="11"/>
      <c r="BD167" s="9" t="s">
        <v>325</v>
      </c>
      <c r="BE167" s="9" t="s">
        <v>301</v>
      </c>
      <c r="BF167" s="9" t="s">
        <v>302</v>
      </c>
      <c r="BG167" s="9" t="s">
        <v>738</v>
      </c>
      <c r="BH167" s="9" t="s">
        <v>304</v>
      </c>
      <c r="BI167" s="9" t="s">
        <v>943</v>
      </c>
      <c r="BJ167" s="9" t="s">
        <v>944</v>
      </c>
      <c r="BK167" s="11">
        <v>856</v>
      </c>
      <c r="BL167" s="16">
        <v>147.16120000000001</v>
      </c>
      <c r="BM167" s="10">
        <v>45708</v>
      </c>
      <c r="BN167" s="10">
        <v>45789</v>
      </c>
      <c r="BO167" s="10"/>
      <c r="BP167" s="16"/>
      <c r="BQ167" s="16"/>
      <c r="BR167" s="9" t="s">
        <v>2198</v>
      </c>
      <c r="BS167" s="9" t="s">
        <v>2199</v>
      </c>
      <c r="BT167" s="9" t="s">
        <v>2200</v>
      </c>
      <c r="BU167" s="9" t="s">
        <v>2201</v>
      </c>
      <c r="BV167" s="9"/>
      <c r="BW167" s="10"/>
      <c r="BX167" s="15" t="s">
        <v>1775</v>
      </c>
      <c r="BY167" s="10"/>
      <c r="BZ167" s="10"/>
      <c r="CA167" s="10"/>
      <c r="CB167" t="b">
        <v>0</v>
      </c>
      <c r="CC167" s="9" t="s">
        <v>308</v>
      </c>
      <c r="CD167" s="9" t="s">
        <v>309</v>
      </c>
    </row>
    <row r="168" spans="1:82">
      <c r="A168" s="8">
        <v>87683</v>
      </c>
      <c r="B168" s="9" t="s">
        <v>2202</v>
      </c>
      <c r="C168" s="9" t="s">
        <v>628</v>
      </c>
      <c r="D168" s="10">
        <v>45673</v>
      </c>
      <c r="E168" s="9" t="s">
        <v>2203</v>
      </c>
      <c r="F168" s="9" t="s">
        <v>2204</v>
      </c>
      <c r="G168" s="9" t="s">
        <v>2205</v>
      </c>
      <c r="H168" s="9" t="s">
        <v>281</v>
      </c>
      <c r="I168" s="9" t="s">
        <v>282</v>
      </c>
      <c r="J168" s="9" t="s">
        <v>283</v>
      </c>
      <c r="K168" s="9" t="s">
        <v>284</v>
      </c>
      <c r="L168" s="9" t="s">
        <v>2206</v>
      </c>
      <c r="M168" s="9" t="s">
        <v>2207</v>
      </c>
      <c r="N168" s="8">
        <v>1</v>
      </c>
      <c r="O168" s="9" t="s">
        <v>2208</v>
      </c>
      <c r="P168" s="11">
        <v>343.07</v>
      </c>
      <c r="Q168" s="11">
        <v>250</v>
      </c>
      <c r="R168" s="11">
        <v>249.9</v>
      </c>
      <c r="S168" s="11">
        <v>1209</v>
      </c>
      <c r="T168" s="11">
        <v>414771.63</v>
      </c>
      <c r="U168" s="12">
        <v>5.2999999999999999E-2</v>
      </c>
      <c r="V168" s="12">
        <v>0.86089400000000005</v>
      </c>
      <c r="W168" s="11">
        <v>1212.569</v>
      </c>
      <c r="X168" s="9" t="s">
        <v>288</v>
      </c>
      <c r="Y168" s="10">
        <v>45135</v>
      </c>
      <c r="Z168" s="13">
        <v>0.13120000000000001</v>
      </c>
      <c r="AB168" t="b">
        <v>0</v>
      </c>
      <c r="AC168" s="9" t="s">
        <v>289</v>
      </c>
      <c r="AD168" s="9" t="s">
        <v>290</v>
      </c>
      <c r="AE168" s="8">
        <v>1506.5734299999999</v>
      </c>
      <c r="AF168" s="14">
        <v>43.210189999999997</v>
      </c>
      <c r="AG168" s="14">
        <v>2.0455000000000001</v>
      </c>
      <c r="AH168" s="9" t="s">
        <v>524</v>
      </c>
      <c r="AI168" s="15" t="s">
        <v>319</v>
      </c>
      <c r="AJ168" s="9" t="s">
        <v>293</v>
      </c>
      <c r="AK168" s="9" t="s">
        <v>2209</v>
      </c>
      <c r="AL168" s="9" t="s">
        <v>2210</v>
      </c>
      <c r="AM168" s="9"/>
      <c r="AN168" s="9" t="s">
        <v>2211</v>
      </c>
      <c r="AO168" s="9"/>
      <c r="AP168" s="9" t="s">
        <v>139</v>
      </c>
      <c r="AQ168" s="9" t="s">
        <v>355</v>
      </c>
      <c r="AR168" t="b">
        <v>0</v>
      </c>
      <c r="AS168" s="10"/>
      <c r="AT168" s="10" t="s">
        <v>299</v>
      </c>
      <c r="AU168" s="9"/>
      <c r="AV168" t="b">
        <v>0</v>
      </c>
      <c r="AW168" s="12"/>
      <c r="AX168" s="11"/>
      <c r="AY168" s="9"/>
      <c r="AZ168" t="b">
        <v>0</v>
      </c>
      <c r="BA168" s="9"/>
      <c r="BB168" s="12"/>
      <c r="BC168" s="11"/>
      <c r="BD168" s="9" t="s">
        <v>325</v>
      </c>
      <c r="BE168" s="9" t="s">
        <v>47</v>
      </c>
      <c r="BF168" s="9" t="s">
        <v>702</v>
      </c>
      <c r="BG168" s="9" t="s">
        <v>738</v>
      </c>
      <c r="BH168" s="9" t="s">
        <v>304</v>
      </c>
      <c r="BI168" s="9" t="s">
        <v>638</v>
      </c>
      <c r="BJ168" s="9" t="s">
        <v>639</v>
      </c>
      <c r="BK168" s="11">
        <v>856</v>
      </c>
      <c r="BL168" s="16">
        <v>197.30669</v>
      </c>
      <c r="BM168" s="10"/>
      <c r="BN168" s="10"/>
      <c r="BO168" s="10"/>
      <c r="BP168" s="16"/>
      <c r="BQ168" s="16"/>
      <c r="BR168" s="9" t="s">
        <v>2212</v>
      </c>
      <c r="BS168" s="9" t="s">
        <v>2213</v>
      </c>
      <c r="BT168" s="9" t="s">
        <v>2205</v>
      </c>
      <c r="BU168" s="9" t="s">
        <v>2204</v>
      </c>
      <c r="BV168" s="9" t="s">
        <v>2214</v>
      </c>
      <c r="BW168" s="10"/>
      <c r="BX168" s="15" t="s">
        <v>2215</v>
      </c>
      <c r="BY168" s="10"/>
      <c r="BZ168" s="10"/>
      <c r="CA168" s="10"/>
      <c r="CB168" t="b">
        <v>0</v>
      </c>
      <c r="CC168" s="9" t="s">
        <v>308</v>
      </c>
      <c r="CD168" s="9" t="s">
        <v>309</v>
      </c>
    </row>
    <row r="169" spans="1:82">
      <c r="A169" s="8">
        <v>76547</v>
      </c>
      <c r="B169" s="9" t="s">
        <v>2216</v>
      </c>
      <c r="C169" s="9" t="s">
        <v>1204</v>
      </c>
      <c r="D169" s="10">
        <v>45672</v>
      </c>
      <c r="E169" s="9" t="s">
        <v>2217</v>
      </c>
      <c r="F169" s="9" t="s">
        <v>2218</v>
      </c>
      <c r="G169" s="9" t="s">
        <v>2219</v>
      </c>
      <c r="H169" s="9" t="s">
        <v>281</v>
      </c>
      <c r="I169" s="9" t="s">
        <v>282</v>
      </c>
      <c r="J169" s="9" t="s">
        <v>283</v>
      </c>
      <c r="K169" s="9" t="s">
        <v>284</v>
      </c>
      <c r="L169" s="9" t="s">
        <v>2220</v>
      </c>
      <c r="M169" s="9" t="s">
        <v>2221</v>
      </c>
      <c r="N169" s="8">
        <v>1</v>
      </c>
      <c r="O169" s="9" t="s">
        <v>2222</v>
      </c>
      <c r="P169" s="11">
        <v>345.8</v>
      </c>
      <c r="Q169" s="11">
        <v>250</v>
      </c>
      <c r="R169" s="11">
        <v>249</v>
      </c>
      <c r="S169" s="11">
        <v>1087</v>
      </c>
      <c r="T169" s="11">
        <v>375884.6</v>
      </c>
      <c r="U169" s="12">
        <v>5.2999999999999999E-2</v>
      </c>
      <c r="V169" s="12">
        <v>0.85599999999999998</v>
      </c>
      <c r="W169" s="11">
        <v>1069.9000000000001</v>
      </c>
      <c r="X169" s="9" t="s">
        <v>288</v>
      </c>
      <c r="Y169" s="10">
        <v>44712</v>
      </c>
      <c r="Z169" s="13">
        <v>0.12870000000000001</v>
      </c>
      <c r="AC169" s="9" t="s">
        <v>289</v>
      </c>
      <c r="AD169" s="9" t="s">
        <v>290</v>
      </c>
      <c r="AE169" s="8">
        <v>1518.5620799999999</v>
      </c>
      <c r="AF169" s="14">
        <v>46.514560000000003</v>
      </c>
      <c r="AG169" s="14">
        <v>3.4143599999999998</v>
      </c>
      <c r="AH169" s="9" t="s">
        <v>483</v>
      </c>
      <c r="AI169" s="15" t="s">
        <v>2223</v>
      </c>
      <c r="AJ169" s="9" t="s">
        <v>293</v>
      </c>
      <c r="AK169" s="9" t="s">
        <v>2224</v>
      </c>
      <c r="AL169" s="9" t="s">
        <v>2225</v>
      </c>
      <c r="AM169" s="9"/>
      <c r="AN169" s="9" t="s">
        <v>2226</v>
      </c>
      <c r="AO169" s="9"/>
      <c r="AP169" s="9" t="s">
        <v>43</v>
      </c>
      <c r="AQ169" s="9" t="s">
        <v>847</v>
      </c>
      <c r="AR169" t="b">
        <v>0</v>
      </c>
      <c r="AS169" s="10"/>
      <c r="AT169" s="10" t="s">
        <v>299</v>
      </c>
      <c r="AU169" s="9"/>
      <c r="AV169" t="b">
        <v>0</v>
      </c>
      <c r="AW169" s="12"/>
      <c r="AX169" s="11"/>
      <c r="AY169" s="9"/>
      <c r="AZ169" t="b">
        <v>0</v>
      </c>
      <c r="BA169" s="9"/>
      <c r="BB169" s="12"/>
      <c r="BC169" s="11"/>
      <c r="BD169" s="9" t="s">
        <v>300</v>
      </c>
      <c r="BE169" s="9" t="s">
        <v>86</v>
      </c>
      <c r="BF169" s="9" t="s">
        <v>356</v>
      </c>
      <c r="BG169" s="9" t="s">
        <v>303</v>
      </c>
      <c r="BH169" s="9" t="s">
        <v>304</v>
      </c>
      <c r="BI169" s="9" t="s">
        <v>1213</v>
      </c>
      <c r="BJ169" s="9" t="s">
        <v>1214</v>
      </c>
      <c r="BK169" s="11">
        <v>856</v>
      </c>
      <c r="BL169" s="16">
        <v>192.0086</v>
      </c>
      <c r="BM169" s="10">
        <v>45748</v>
      </c>
      <c r="BN169" s="10">
        <v>45791</v>
      </c>
      <c r="BO169" s="10"/>
      <c r="BP169" s="16"/>
      <c r="BQ169" s="16"/>
      <c r="BR169" s="9"/>
      <c r="BS169" s="9"/>
      <c r="BT169" s="9"/>
      <c r="BU169" s="9"/>
      <c r="BV169" s="9"/>
      <c r="BW169" s="10"/>
      <c r="BX169" s="15" t="s">
        <v>823</v>
      </c>
      <c r="BY169" s="10"/>
      <c r="BZ169" s="10"/>
      <c r="CA169" s="10"/>
      <c r="CB169" t="b">
        <v>0</v>
      </c>
      <c r="CC169" s="9" t="s">
        <v>308</v>
      </c>
      <c r="CD169" s="9" t="s">
        <v>309</v>
      </c>
    </row>
    <row r="170" spans="1:82">
      <c r="A170" s="8">
        <v>98563</v>
      </c>
      <c r="B170" s="9" t="s">
        <v>1800</v>
      </c>
      <c r="C170" s="9" t="s">
        <v>932</v>
      </c>
      <c r="D170" s="10">
        <v>45670</v>
      </c>
      <c r="E170" s="9" t="s">
        <v>2227</v>
      </c>
      <c r="F170" s="9" t="s">
        <v>2228</v>
      </c>
      <c r="G170" s="9" t="s">
        <v>2229</v>
      </c>
      <c r="H170" s="9" t="s">
        <v>315</v>
      </c>
      <c r="I170" s="9" t="s">
        <v>282</v>
      </c>
      <c r="J170" s="9" t="s">
        <v>283</v>
      </c>
      <c r="K170" s="9" t="s">
        <v>284</v>
      </c>
      <c r="L170" s="9" t="s">
        <v>2230</v>
      </c>
      <c r="M170" s="9" t="s">
        <v>2231</v>
      </c>
      <c r="N170" s="8">
        <v>1</v>
      </c>
      <c r="O170" s="9" t="s">
        <v>2232</v>
      </c>
      <c r="P170" s="11">
        <v>197.92500000000001</v>
      </c>
      <c r="Q170" s="11">
        <v>165</v>
      </c>
      <c r="R170" s="11">
        <v>153.6</v>
      </c>
      <c r="S170" s="11">
        <v>1350</v>
      </c>
      <c r="T170" s="11">
        <v>267198.75</v>
      </c>
      <c r="U170" s="12">
        <v>5.2999999999999999E-2</v>
      </c>
      <c r="V170" s="12">
        <v>0.84099999999999997</v>
      </c>
      <c r="W170" s="11">
        <v>1310.5999999999999</v>
      </c>
      <c r="X170" s="9" t="s">
        <v>288</v>
      </c>
      <c r="Y170" s="10">
        <v>45015</v>
      </c>
      <c r="Z170" s="13">
        <v>0.13120000000000001</v>
      </c>
      <c r="AA170" t="b">
        <v>1</v>
      </c>
      <c r="AC170" s="9" t="s">
        <v>289</v>
      </c>
      <c r="AD170" s="9" t="s">
        <v>290</v>
      </c>
      <c r="AE170" s="8">
        <v>869.17697999999996</v>
      </c>
      <c r="AF170" s="14">
        <v>43.3172</v>
      </c>
      <c r="AG170" s="14">
        <v>1.1211599999999999</v>
      </c>
      <c r="AH170" s="9" t="s">
        <v>483</v>
      </c>
      <c r="AI170" s="15" t="s">
        <v>319</v>
      </c>
      <c r="AJ170" s="9" t="s">
        <v>293</v>
      </c>
      <c r="AK170" s="9" t="s">
        <v>2233</v>
      </c>
      <c r="AL170" s="9" t="s">
        <v>2234</v>
      </c>
      <c r="AM170" s="9"/>
      <c r="AN170" s="9" t="s">
        <v>2235</v>
      </c>
      <c r="AO170" s="9"/>
      <c r="AP170" s="9" t="s">
        <v>139</v>
      </c>
      <c r="AQ170" s="9" t="s">
        <v>514</v>
      </c>
      <c r="AR170" t="b">
        <v>1</v>
      </c>
      <c r="AS170" s="10">
        <v>46022</v>
      </c>
      <c r="AT170" s="10">
        <v>46022</v>
      </c>
      <c r="AU170" s="9" t="s">
        <v>1139</v>
      </c>
      <c r="AV170" t="b">
        <v>0</v>
      </c>
      <c r="AW170" s="12"/>
      <c r="AX170" s="11">
        <v>8250</v>
      </c>
      <c r="AY170" s="9" t="s">
        <v>471</v>
      </c>
      <c r="AZ170" t="b">
        <v>1</v>
      </c>
      <c r="BA170" s="9" t="s">
        <v>472</v>
      </c>
      <c r="BB170" s="12"/>
      <c r="BC170" s="11">
        <v>8250</v>
      </c>
      <c r="BD170" s="9" t="s">
        <v>325</v>
      </c>
      <c r="BE170" s="9" t="s">
        <v>301</v>
      </c>
      <c r="BF170" s="9" t="s">
        <v>373</v>
      </c>
      <c r="BG170" s="9" t="s">
        <v>738</v>
      </c>
      <c r="BH170" s="9" t="s">
        <v>304</v>
      </c>
      <c r="BI170" s="9" t="s">
        <v>943</v>
      </c>
      <c r="BJ170" s="9" t="s">
        <v>944</v>
      </c>
      <c r="BK170" s="11">
        <v>856</v>
      </c>
      <c r="BL170" s="16">
        <v>137.73847499999999</v>
      </c>
      <c r="BM170" s="10">
        <v>45701</v>
      </c>
      <c r="BN170" s="10">
        <v>45792</v>
      </c>
      <c r="BO170" s="10"/>
      <c r="BP170" s="16"/>
      <c r="BQ170" s="16"/>
      <c r="BR170" s="9" t="s">
        <v>2236</v>
      </c>
      <c r="BS170" s="9" t="s">
        <v>2237</v>
      </c>
      <c r="BT170" s="9" t="s">
        <v>2238</v>
      </c>
      <c r="BU170" s="9"/>
      <c r="BV170" s="9"/>
      <c r="BW170" s="10"/>
      <c r="BX170" s="15"/>
      <c r="BY170" s="10"/>
      <c r="BZ170" s="10"/>
      <c r="CA170" s="10"/>
      <c r="CB170" t="b">
        <v>0</v>
      </c>
      <c r="CC170" s="9" t="s">
        <v>308</v>
      </c>
      <c r="CD170" s="9" t="s">
        <v>309</v>
      </c>
    </row>
    <row r="171" spans="1:82">
      <c r="A171" s="8">
        <v>61187</v>
      </c>
      <c r="B171" s="9" t="s">
        <v>2239</v>
      </c>
      <c r="C171" s="9" t="s">
        <v>1257</v>
      </c>
      <c r="D171" s="10">
        <v>45667</v>
      </c>
      <c r="E171" s="9" t="s">
        <v>2240</v>
      </c>
      <c r="F171" s="9" t="s">
        <v>2241</v>
      </c>
      <c r="G171" s="9" t="s">
        <v>2242</v>
      </c>
      <c r="H171" s="9" t="s">
        <v>281</v>
      </c>
      <c r="I171" s="9" t="s">
        <v>282</v>
      </c>
      <c r="J171" s="9" t="s">
        <v>719</v>
      </c>
      <c r="K171" s="9" t="s">
        <v>284</v>
      </c>
      <c r="L171" s="9" t="s">
        <v>2243</v>
      </c>
      <c r="M171" s="9" t="s">
        <v>2244</v>
      </c>
      <c r="N171" s="8">
        <v>1</v>
      </c>
      <c r="O171" s="9" t="s">
        <v>2245</v>
      </c>
      <c r="P171" s="11">
        <v>300.82</v>
      </c>
      <c r="Q171" s="11">
        <v>250</v>
      </c>
      <c r="R171" s="11">
        <v>249.9</v>
      </c>
      <c r="S171" s="11">
        <v>1202</v>
      </c>
      <c r="T171" s="11">
        <v>361585.64</v>
      </c>
      <c r="U171" s="12">
        <v>5.3999999999999999E-2</v>
      </c>
      <c r="V171" s="12">
        <v>0.85299999999999998</v>
      </c>
      <c r="W171" s="11">
        <v>1228.8</v>
      </c>
      <c r="X171" s="9" t="s">
        <v>288</v>
      </c>
      <c r="Y171" s="10">
        <v>44697</v>
      </c>
      <c r="Z171" s="13">
        <v>0.1313</v>
      </c>
      <c r="AC171" s="9" t="s">
        <v>289</v>
      </c>
      <c r="AD171" s="9" t="s">
        <v>290</v>
      </c>
      <c r="AE171" s="8">
        <v>1350.72101</v>
      </c>
      <c r="AF171" s="14">
        <v>43.254370000000002</v>
      </c>
      <c r="AG171" s="14">
        <v>2.3643100000000001</v>
      </c>
      <c r="AH171" s="9" t="s">
        <v>483</v>
      </c>
      <c r="AI171" s="15" t="s">
        <v>319</v>
      </c>
      <c r="AJ171" s="9" t="s">
        <v>293</v>
      </c>
      <c r="AK171" s="9" t="s">
        <v>2246</v>
      </c>
      <c r="AL171" s="9" t="s">
        <v>2247</v>
      </c>
      <c r="AM171" s="9"/>
      <c r="AN171" s="9" t="s">
        <v>2248</v>
      </c>
      <c r="AO171" s="9"/>
      <c r="AP171" s="9" t="s">
        <v>93</v>
      </c>
      <c r="AQ171" s="9" t="s">
        <v>372</v>
      </c>
      <c r="AR171" t="b">
        <v>0</v>
      </c>
      <c r="AS171" s="10"/>
      <c r="AT171" s="10" t="s">
        <v>299</v>
      </c>
      <c r="AU171" s="9"/>
      <c r="AV171" t="b">
        <v>0</v>
      </c>
      <c r="AW171" s="12"/>
      <c r="AX171" s="11"/>
      <c r="AY171" s="9"/>
      <c r="AZ171" t="b">
        <v>0</v>
      </c>
      <c r="BA171" s="9"/>
      <c r="BB171" s="12"/>
      <c r="BC171" s="11"/>
      <c r="BD171" s="9" t="s">
        <v>325</v>
      </c>
      <c r="BE171" s="9" t="s">
        <v>47</v>
      </c>
      <c r="BF171" s="9" t="s">
        <v>702</v>
      </c>
      <c r="BG171" s="9" t="s">
        <v>738</v>
      </c>
      <c r="BH171" s="9" t="s">
        <v>304</v>
      </c>
      <c r="BI171" s="9" t="s">
        <v>1267</v>
      </c>
      <c r="BJ171" s="9" t="s">
        <v>1268</v>
      </c>
      <c r="BK171" s="11">
        <v>856</v>
      </c>
      <c r="BL171" s="16">
        <v>175.50094000000001</v>
      </c>
      <c r="BM171" s="10">
        <v>45787</v>
      </c>
      <c r="BN171" s="10">
        <v>45791</v>
      </c>
      <c r="BO171" s="10"/>
      <c r="BP171" s="16"/>
      <c r="BQ171" s="16"/>
      <c r="BR171" s="9"/>
      <c r="BS171" s="9"/>
      <c r="BT171" s="9"/>
      <c r="BU171" s="9"/>
      <c r="BV171" s="9"/>
      <c r="BW171" s="10"/>
      <c r="BX171" s="15" t="s">
        <v>2249</v>
      </c>
      <c r="BY171" s="10"/>
      <c r="BZ171" s="10"/>
      <c r="CA171" s="10"/>
      <c r="CB171" t="b">
        <v>0</v>
      </c>
      <c r="CC171" s="9" t="s">
        <v>308</v>
      </c>
      <c r="CD171" s="9" t="s">
        <v>309</v>
      </c>
    </row>
    <row r="172" spans="1:82" ht="29.1">
      <c r="A172" s="8">
        <v>29246</v>
      </c>
      <c r="B172" s="9" t="s">
        <v>2250</v>
      </c>
      <c r="C172" s="9" t="s">
        <v>1257</v>
      </c>
      <c r="D172" s="10">
        <v>45667</v>
      </c>
      <c r="E172" s="9" t="s">
        <v>2251</v>
      </c>
      <c r="F172" s="9" t="s">
        <v>391</v>
      </c>
      <c r="G172" s="9" t="s">
        <v>2252</v>
      </c>
      <c r="H172" s="9" t="s">
        <v>281</v>
      </c>
      <c r="I172" s="9" t="s">
        <v>282</v>
      </c>
      <c r="J172" s="9" t="s">
        <v>283</v>
      </c>
      <c r="K172" s="9" t="s">
        <v>284</v>
      </c>
      <c r="L172" s="9" t="s">
        <v>2253</v>
      </c>
      <c r="M172" s="9" t="s">
        <v>2254</v>
      </c>
      <c r="N172" s="8">
        <v>1</v>
      </c>
      <c r="O172" s="9" t="s">
        <v>2255</v>
      </c>
      <c r="P172" s="11">
        <v>173.55</v>
      </c>
      <c r="Q172" s="11">
        <v>165</v>
      </c>
      <c r="R172" s="11">
        <v>145.80000000000001</v>
      </c>
      <c r="S172" s="11">
        <v>1182</v>
      </c>
      <c r="T172" s="11">
        <v>205136.1</v>
      </c>
      <c r="U172" s="12">
        <v>5.2999999999999999E-2</v>
      </c>
      <c r="V172" s="12">
        <v>0.85499999999999998</v>
      </c>
      <c r="W172" s="11">
        <v>1174.5999999999999</v>
      </c>
      <c r="X172" s="9" t="s">
        <v>288</v>
      </c>
      <c r="Y172" s="10">
        <v>44768</v>
      </c>
      <c r="Z172" s="13">
        <v>0.13109999999999999</v>
      </c>
      <c r="AA172" t="b">
        <v>1</v>
      </c>
      <c r="AC172" s="9" t="s">
        <v>289</v>
      </c>
      <c r="AD172" s="9" t="s">
        <v>290</v>
      </c>
      <c r="AE172" s="8">
        <v>779.26211999999998</v>
      </c>
      <c r="AF172" s="14">
        <v>46.633879999999998</v>
      </c>
      <c r="AG172" s="14">
        <v>3.5823299999999998</v>
      </c>
      <c r="AH172" s="9" t="s">
        <v>483</v>
      </c>
      <c r="AI172" s="15" t="s">
        <v>2256</v>
      </c>
      <c r="AJ172" s="9" t="s">
        <v>293</v>
      </c>
      <c r="AK172" s="9" t="s">
        <v>2257</v>
      </c>
      <c r="AL172" s="9" t="s">
        <v>2258</v>
      </c>
      <c r="AM172" s="9"/>
      <c r="AN172" s="9" t="s">
        <v>2259</v>
      </c>
      <c r="AO172" s="9"/>
      <c r="AP172" s="9" t="s">
        <v>43</v>
      </c>
      <c r="AQ172" s="9" t="s">
        <v>847</v>
      </c>
      <c r="AR172" t="b">
        <v>0</v>
      </c>
      <c r="AS172" s="10"/>
      <c r="AT172" s="10" t="s">
        <v>299</v>
      </c>
      <c r="AU172" s="9"/>
      <c r="AV172" t="b">
        <v>0</v>
      </c>
      <c r="AW172" s="12"/>
      <c r="AX172" s="11"/>
      <c r="AY172" s="9"/>
      <c r="AZ172" t="b">
        <v>0</v>
      </c>
      <c r="BA172" s="9"/>
      <c r="BB172" s="12"/>
      <c r="BC172" s="11"/>
      <c r="BD172" s="9" t="s">
        <v>300</v>
      </c>
      <c r="BE172" s="9" t="s">
        <v>47</v>
      </c>
      <c r="BF172" s="9" t="s">
        <v>1111</v>
      </c>
      <c r="BG172" s="9" t="s">
        <v>303</v>
      </c>
      <c r="BH172" s="9" t="s">
        <v>304</v>
      </c>
      <c r="BI172" s="9" t="s">
        <v>1267</v>
      </c>
      <c r="BJ172" s="9" t="s">
        <v>1268</v>
      </c>
      <c r="BK172" s="11">
        <v>856</v>
      </c>
      <c r="BL172" s="16">
        <v>128.79284999999999</v>
      </c>
      <c r="BM172" s="10">
        <v>45683</v>
      </c>
      <c r="BN172" s="10">
        <v>45792</v>
      </c>
      <c r="BO172" s="10"/>
      <c r="BP172" s="16"/>
      <c r="BQ172" s="16"/>
      <c r="BR172" s="9"/>
      <c r="BS172" s="9"/>
      <c r="BT172" s="9"/>
      <c r="BU172" s="9"/>
      <c r="BV172" s="9"/>
      <c r="BW172" s="10"/>
      <c r="BX172" s="15" t="s">
        <v>2260</v>
      </c>
      <c r="BY172" s="10"/>
      <c r="BZ172" s="10"/>
      <c r="CA172" s="10"/>
      <c r="CB172" t="b">
        <v>0</v>
      </c>
      <c r="CC172" s="9" t="s">
        <v>308</v>
      </c>
      <c r="CD172" s="9" t="s">
        <v>309</v>
      </c>
    </row>
    <row r="173" spans="1:82">
      <c r="A173" s="8">
        <v>28499</v>
      </c>
      <c r="B173" s="9" t="s">
        <v>2261</v>
      </c>
      <c r="C173" s="9" t="s">
        <v>1257</v>
      </c>
      <c r="D173" s="10">
        <v>45666</v>
      </c>
      <c r="E173" s="9" t="s">
        <v>2262</v>
      </c>
      <c r="F173" s="9" t="s">
        <v>680</v>
      </c>
      <c r="G173" s="9" t="s">
        <v>2263</v>
      </c>
      <c r="H173" s="9" t="s">
        <v>281</v>
      </c>
      <c r="I173" s="9" t="s">
        <v>282</v>
      </c>
      <c r="J173" s="9" t="s">
        <v>283</v>
      </c>
      <c r="K173" s="9" t="s">
        <v>284</v>
      </c>
      <c r="L173" s="9" t="s">
        <v>2264</v>
      </c>
      <c r="M173" s="9" t="s">
        <v>2265</v>
      </c>
      <c r="N173" s="8">
        <v>1</v>
      </c>
      <c r="O173" s="9" t="s">
        <v>2266</v>
      </c>
      <c r="P173" s="11">
        <v>156.52000000000001</v>
      </c>
      <c r="Q173" s="11">
        <v>165</v>
      </c>
      <c r="R173" s="11">
        <v>122.9</v>
      </c>
      <c r="S173" s="11">
        <v>1230</v>
      </c>
      <c r="T173" s="11">
        <v>192519.6</v>
      </c>
      <c r="U173" s="12">
        <v>5.2999999999999999E-2</v>
      </c>
      <c r="V173" s="12">
        <v>0.85099999999999998</v>
      </c>
      <c r="W173" s="11">
        <v>1202</v>
      </c>
      <c r="X173" s="9" t="s">
        <v>288</v>
      </c>
      <c r="Y173" s="10">
        <v>44963</v>
      </c>
      <c r="Z173" s="13">
        <v>0.13120000000000001</v>
      </c>
      <c r="AB173" t="b">
        <v>0</v>
      </c>
      <c r="AC173" s="9" t="s">
        <v>289</v>
      </c>
      <c r="AD173" s="9" t="s">
        <v>290</v>
      </c>
      <c r="AE173" s="8">
        <v>708.29304000000002</v>
      </c>
      <c r="AF173" s="14">
        <v>44.973790000000001</v>
      </c>
      <c r="AG173" s="14">
        <v>5.08413</v>
      </c>
      <c r="AH173" s="9" t="s">
        <v>483</v>
      </c>
      <c r="AI173" s="15" t="s">
        <v>396</v>
      </c>
      <c r="AJ173" s="9" t="s">
        <v>293</v>
      </c>
      <c r="AK173" s="9" t="s">
        <v>2267</v>
      </c>
      <c r="AL173" s="9" t="s">
        <v>2268</v>
      </c>
      <c r="AM173" s="9"/>
      <c r="AN173" s="9" t="s">
        <v>2269</v>
      </c>
      <c r="AO173" s="9"/>
      <c r="AP173" s="9" t="s">
        <v>43</v>
      </c>
      <c r="AQ173" s="9" t="s">
        <v>847</v>
      </c>
      <c r="AR173" t="b">
        <v>0</v>
      </c>
      <c r="AS173" s="10"/>
      <c r="AT173" s="10" t="s">
        <v>299</v>
      </c>
      <c r="AU173" s="9"/>
      <c r="AV173" t="b">
        <v>0</v>
      </c>
      <c r="AW173" s="12"/>
      <c r="AX173" s="11"/>
      <c r="AY173" s="9"/>
      <c r="AZ173" t="b">
        <v>0</v>
      </c>
      <c r="BA173" s="9"/>
      <c r="BB173" s="12"/>
      <c r="BC173" s="11"/>
      <c r="BD173" s="9" t="s">
        <v>300</v>
      </c>
      <c r="BE173" s="9" t="s">
        <v>47</v>
      </c>
      <c r="BF173" s="9" t="s">
        <v>302</v>
      </c>
      <c r="BG173" s="9" t="s">
        <v>967</v>
      </c>
      <c r="BH173" s="9" t="s">
        <v>304</v>
      </c>
      <c r="BI173" s="9" t="s">
        <v>1267</v>
      </c>
      <c r="BJ173" s="9" t="s">
        <v>1268</v>
      </c>
      <c r="BK173" s="11">
        <v>856</v>
      </c>
      <c r="BL173" s="16">
        <v>122.54284</v>
      </c>
      <c r="BM173" s="10">
        <v>45697</v>
      </c>
      <c r="BN173" s="10">
        <v>45791</v>
      </c>
      <c r="BO173" s="10"/>
      <c r="BP173" s="16"/>
      <c r="BQ173" s="16"/>
      <c r="BR173" s="9"/>
      <c r="BS173" s="9"/>
      <c r="BT173" s="9"/>
      <c r="BU173" s="9"/>
      <c r="BV173" s="9"/>
      <c r="BW173" s="10"/>
      <c r="BX173" s="15" t="s">
        <v>1290</v>
      </c>
      <c r="BY173" s="10"/>
      <c r="BZ173" s="10"/>
      <c r="CA173" s="10"/>
      <c r="CB173" t="b">
        <v>0</v>
      </c>
      <c r="CC173" s="9" t="s">
        <v>308</v>
      </c>
      <c r="CD173" s="9" t="s">
        <v>309</v>
      </c>
    </row>
    <row r="174" spans="1:82">
      <c r="A174" s="8">
        <v>90878</v>
      </c>
      <c r="B174" s="9" t="s">
        <v>2270</v>
      </c>
      <c r="C174" s="9" t="s">
        <v>1257</v>
      </c>
      <c r="D174" s="10">
        <v>45656</v>
      </c>
      <c r="E174" s="9" t="s">
        <v>2271</v>
      </c>
      <c r="F174" s="9" t="s">
        <v>2272</v>
      </c>
      <c r="G174" s="9" t="s">
        <v>2273</v>
      </c>
      <c r="H174" s="9" t="s">
        <v>479</v>
      </c>
      <c r="I174" s="9" t="s">
        <v>282</v>
      </c>
      <c r="J174" s="9" t="s">
        <v>283</v>
      </c>
      <c r="K174" s="9" t="s">
        <v>284</v>
      </c>
      <c r="L174" s="9" t="s">
        <v>2274</v>
      </c>
      <c r="M174" s="9" t="s">
        <v>2275</v>
      </c>
      <c r="N174" s="8">
        <v>2</v>
      </c>
      <c r="O174" s="9" t="s">
        <v>2276</v>
      </c>
      <c r="P174" s="11">
        <v>499.66</v>
      </c>
      <c r="Q174" s="11">
        <v>440</v>
      </c>
      <c r="R174" s="11">
        <v>416.6</v>
      </c>
      <c r="S174" s="11">
        <v>1117.8699999999999</v>
      </c>
      <c r="T174" s="11">
        <v>558554.92420000001</v>
      </c>
      <c r="U174" s="12">
        <v>5.3999999999999999E-2</v>
      </c>
      <c r="V174" s="12">
        <v>0.86299999999999999</v>
      </c>
      <c r="W174" s="11">
        <v>1120</v>
      </c>
      <c r="X174" s="9" t="s">
        <v>288</v>
      </c>
      <c r="Y174" s="10">
        <v>45005</v>
      </c>
      <c r="Z174" s="13">
        <v>0.1313</v>
      </c>
      <c r="AC174" s="9" t="s">
        <v>289</v>
      </c>
      <c r="AD174" s="9" t="s">
        <v>290</v>
      </c>
      <c r="AE174" s="8">
        <v>2261.08932</v>
      </c>
      <c r="AF174" s="14">
        <v>45.745820000000002</v>
      </c>
      <c r="AG174" s="14">
        <v>4.4489599999999996</v>
      </c>
      <c r="AH174" s="9" t="s">
        <v>483</v>
      </c>
      <c r="AI174" s="15" t="s">
        <v>319</v>
      </c>
      <c r="AJ174" s="9" t="s">
        <v>293</v>
      </c>
      <c r="AK174" s="9" t="s">
        <v>2277</v>
      </c>
      <c r="AL174" s="9" t="s">
        <v>2278</v>
      </c>
      <c r="AM174" s="9"/>
      <c r="AN174" s="9" t="s">
        <v>2279</v>
      </c>
      <c r="AO174" s="9" t="s">
        <v>2280</v>
      </c>
      <c r="AP174" s="9" t="s">
        <v>43</v>
      </c>
      <c r="AQ174" s="9" t="s">
        <v>847</v>
      </c>
      <c r="AR174" t="b">
        <v>0</v>
      </c>
      <c r="AS174" s="10"/>
      <c r="AT174" s="10" t="s">
        <v>299</v>
      </c>
      <c r="AU174" s="9"/>
      <c r="AV174" t="b">
        <v>0</v>
      </c>
      <c r="AW174" s="12"/>
      <c r="AX174" s="11"/>
      <c r="AY174" s="9"/>
      <c r="AZ174" t="b">
        <v>0</v>
      </c>
      <c r="BA174" s="9"/>
      <c r="BB174" s="12"/>
      <c r="BC174" s="11"/>
      <c r="BD174" s="9" t="s">
        <v>300</v>
      </c>
      <c r="BE174" s="9" t="s">
        <v>47</v>
      </c>
      <c r="BF174" s="9" t="s">
        <v>1111</v>
      </c>
      <c r="BG174" s="9" t="s">
        <v>303</v>
      </c>
      <c r="BH174" s="9" t="s">
        <v>304</v>
      </c>
      <c r="BI174" s="9" t="s">
        <v>1267</v>
      </c>
      <c r="BJ174" s="9" t="s">
        <v>1268</v>
      </c>
      <c r="BK174" s="11">
        <v>856</v>
      </c>
      <c r="BL174" s="16">
        <v>248.47522000000001</v>
      </c>
      <c r="BM174" s="10">
        <v>45702</v>
      </c>
      <c r="BN174" s="10">
        <v>45793</v>
      </c>
      <c r="BO174" s="10"/>
      <c r="BP174" s="16"/>
      <c r="BQ174" s="16"/>
      <c r="BR174" s="9"/>
      <c r="BS174" s="9"/>
      <c r="BT174" s="9"/>
      <c r="BU174" s="9"/>
      <c r="BV174" s="9"/>
      <c r="BW174" s="10"/>
      <c r="BX174" s="15" t="s">
        <v>2281</v>
      </c>
      <c r="BY174" s="10"/>
      <c r="BZ174" s="10"/>
      <c r="CA174" s="10"/>
      <c r="CB174" t="b">
        <v>0</v>
      </c>
      <c r="CC174" s="9" t="s">
        <v>308</v>
      </c>
      <c r="CD174" s="9" t="s">
        <v>309</v>
      </c>
    </row>
    <row r="175" spans="1:82" ht="29.1">
      <c r="A175" s="8">
        <v>93129</v>
      </c>
      <c r="B175" s="9" t="s">
        <v>2282</v>
      </c>
      <c r="C175" s="9" t="s">
        <v>970</v>
      </c>
      <c r="D175" s="10">
        <v>45646</v>
      </c>
      <c r="E175" s="9" t="s">
        <v>2283</v>
      </c>
      <c r="F175" s="9" t="s">
        <v>2284</v>
      </c>
      <c r="G175" s="9" t="s">
        <v>2285</v>
      </c>
      <c r="H175" s="9" t="s">
        <v>281</v>
      </c>
      <c r="I175" s="9" t="s">
        <v>282</v>
      </c>
      <c r="J175" s="9" t="s">
        <v>283</v>
      </c>
      <c r="K175" s="9" t="s">
        <v>284</v>
      </c>
      <c r="L175" s="9" t="s">
        <v>2286</v>
      </c>
      <c r="M175" s="9" t="s">
        <v>2287</v>
      </c>
      <c r="N175" s="8">
        <v>1</v>
      </c>
      <c r="O175" s="9" t="s">
        <v>2288</v>
      </c>
      <c r="P175" s="11">
        <v>307.02</v>
      </c>
      <c r="Q175" s="11">
        <v>250</v>
      </c>
      <c r="R175" s="11">
        <v>249.9</v>
      </c>
      <c r="S175" s="11">
        <v>1442</v>
      </c>
      <c r="T175" s="11">
        <v>442722.84</v>
      </c>
      <c r="U175" s="12">
        <v>5.3999999999999999E-2</v>
      </c>
      <c r="V175" s="12">
        <v>0.84799999999999998</v>
      </c>
      <c r="W175" s="11">
        <v>1440.4</v>
      </c>
      <c r="X175" s="9" t="s">
        <v>288</v>
      </c>
      <c r="Y175" s="10">
        <v>45027</v>
      </c>
      <c r="Z175" s="13">
        <v>0.13120000000000001</v>
      </c>
      <c r="AC175" s="9" t="s">
        <v>289</v>
      </c>
      <c r="AD175" s="9" t="s">
        <v>290</v>
      </c>
      <c r="AE175" s="8">
        <v>1389.3440399999999</v>
      </c>
      <c r="AF175" s="14">
        <v>44.206499999999998</v>
      </c>
      <c r="AG175" s="14">
        <v>5.9368400000000001</v>
      </c>
      <c r="AH175" s="9" t="s">
        <v>483</v>
      </c>
      <c r="AI175" s="15" t="s">
        <v>2289</v>
      </c>
      <c r="AJ175" s="9" t="s">
        <v>293</v>
      </c>
      <c r="AK175" s="9" t="s">
        <v>2290</v>
      </c>
      <c r="AL175" s="9" t="s">
        <v>2291</v>
      </c>
      <c r="AM175" s="9"/>
      <c r="AN175" s="9" t="s">
        <v>2292</v>
      </c>
      <c r="AO175" s="9"/>
      <c r="AP175" s="9" t="s">
        <v>43</v>
      </c>
      <c r="AQ175" s="9" t="s">
        <v>847</v>
      </c>
      <c r="AR175" t="b">
        <v>0</v>
      </c>
      <c r="AS175" s="10"/>
      <c r="AT175" s="10" t="s">
        <v>299</v>
      </c>
      <c r="AU175" s="9"/>
      <c r="AV175" t="b">
        <v>0</v>
      </c>
      <c r="AW175" s="12"/>
      <c r="AX175" s="11"/>
      <c r="AY175" s="9"/>
      <c r="AZ175" t="b">
        <v>0</v>
      </c>
      <c r="BA175" s="9"/>
      <c r="BB175" s="12"/>
      <c r="BC175" s="11"/>
      <c r="BD175" s="9" t="s">
        <v>300</v>
      </c>
      <c r="BE175" s="9" t="s">
        <v>301</v>
      </c>
      <c r="BF175" s="9" t="s">
        <v>690</v>
      </c>
      <c r="BG175" s="9" t="s">
        <v>967</v>
      </c>
      <c r="BH175" s="9" t="s">
        <v>304</v>
      </c>
      <c r="BI175" s="9" t="s">
        <v>981</v>
      </c>
      <c r="BJ175" s="9" t="s">
        <v>982</v>
      </c>
      <c r="BK175" s="11">
        <v>856</v>
      </c>
      <c r="BL175" s="16">
        <v>177.77634</v>
      </c>
      <c r="BM175" s="10">
        <v>45722</v>
      </c>
      <c r="BN175" s="10">
        <v>45744</v>
      </c>
      <c r="BO175" s="10"/>
      <c r="BP175" s="16"/>
      <c r="BQ175" s="16"/>
      <c r="BR175" s="9" t="s">
        <v>2293</v>
      </c>
      <c r="BS175" s="9" t="s">
        <v>2294</v>
      </c>
      <c r="BT175" s="9" t="s">
        <v>2295</v>
      </c>
      <c r="BU175" s="9" t="s">
        <v>2284</v>
      </c>
      <c r="BV175" s="9"/>
      <c r="BW175" s="10"/>
      <c r="BX175" s="15" t="s">
        <v>2296</v>
      </c>
      <c r="BY175" s="10"/>
      <c r="BZ175" s="10"/>
      <c r="CA175" s="10"/>
      <c r="CC175" s="9" t="s">
        <v>308</v>
      </c>
      <c r="CD175" s="9" t="s">
        <v>309</v>
      </c>
    </row>
    <row r="176" spans="1:82" ht="29.1">
      <c r="A176" s="8">
        <v>95686</v>
      </c>
      <c r="B176" s="9" t="s">
        <v>1636</v>
      </c>
      <c r="C176" s="9" t="s">
        <v>1204</v>
      </c>
      <c r="D176" s="10">
        <v>45644</v>
      </c>
      <c r="E176" s="9" t="s">
        <v>2297</v>
      </c>
      <c r="F176" s="9" t="s">
        <v>1168</v>
      </c>
      <c r="G176" s="9" t="s">
        <v>1637</v>
      </c>
      <c r="H176" s="9" t="s">
        <v>281</v>
      </c>
      <c r="I176" s="9" t="s">
        <v>282</v>
      </c>
      <c r="J176" s="9" t="s">
        <v>283</v>
      </c>
      <c r="K176" s="9" t="s">
        <v>284</v>
      </c>
      <c r="L176" s="9" t="s">
        <v>2298</v>
      </c>
      <c r="M176" s="9" t="s">
        <v>2299</v>
      </c>
      <c r="N176" s="8">
        <v>2</v>
      </c>
      <c r="O176" s="9" t="s">
        <v>2300</v>
      </c>
      <c r="P176" s="11">
        <v>499.95</v>
      </c>
      <c r="Q176" s="11">
        <v>440</v>
      </c>
      <c r="R176" s="11">
        <v>416</v>
      </c>
      <c r="S176" s="11">
        <v>1169.317</v>
      </c>
      <c r="T176" s="11">
        <v>584600.03414999996</v>
      </c>
      <c r="U176" s="12">
        <v>5.3999999999999999E-2</v>
      </c>
      <c r="V176" s="12">
        <v>0.86299999999999999</v>
      </c>
      <c r="W176" s="11">
        <v>1108.9000000000001</v>
      </c>
      <c r="X176" s="9" t="s">
        <v>288</v>
      </c>
      <c r="Y176" s="10">
        <v>45020</v>
      </c>
      <c r="Z176" s="13">
        <v>0.13120000000000001</v>
      </c>
      <c r="AC176" s="9" t="s">
        <v>289</v>
      </c>
      <c r="AD176" s="9" t="s">
        <v>290</v>
      </c>
      <c r="AE176" s="8">
        <v>2219.9</v>
      </c>
      <c r="AF176" s="14">
        <v>46.212119999999999</v>
      </c>
      <c r="AG176" s="14">
        <v>1.6677900000000001</v>
      </c>
      <c r="AH176" s="9" t="s">
        <v>483</v>
      </c>
      <c r="AI176" s="15" t="s">
        <v>2301</v>
      </c>
      <c r="AJ176" s="9" t="s">
        <v>293</v>
      </c>
      <c r="AK176" s="9" t="s">
        <v>1641</v>
      </c>
      <c r="AL176" s="9" t="s">
        <v>1642</v>
      </c>
      <c r="AM176" s="9"/>
      <c r="AN176" s="9" t="s">
        <v>1643</v>
      </c>
      <c r="AO176" s="9"/>
      <c r="AP176" s="9" t="s">
        <v>108</v>
      </c>
      <c r="AQ176" s="9" t="s">
        <v>298</v>
      </c>
      <c r="AR176" t="b">
        <v>0</v>
      </c>
      <c r="AS176" s="10"/>
      <c r="AT176" s="10" t="s">
        <v>299</v>
      </c>
      <c r="AU176" s="9"/>
      <c r="AV176" t="b">
        <v>0</v>
      </c>
      <c r="AW176" s="12"/>
      <c r="AX176" s="11"/>
      <c r="AY176" s="9"/>
      <c r="AZ176" t="b">
        <v>0</v>
      </c>
      <c r="BA176" s="9"/>
      <c r="BB176" s="12"/>
      <c r="BC176" s="11"/>
      <c r="BD176" s="9" t="s">
        <v>325</v>
      </c>
      <c r="BE176" s="9" t="s">
        <v>86</v>
      </c>
      <c r="BF176" s="9" t="s">
        <v>356</v>
      </c>
      <c r="BG176" s="9" t="s">
        <v>529</v>
      </c>
      <c r="BH176" s="9" t="s">
        <v>304</v>
      </c>
      <c r="BI176" s="9" t="s">
        <v>1213</v>
      </c>
      <c r="BJ176" s="9" t="s">
        <v>1214</v>
      </c>
      <c r="BK176" s="11">
        <v>856</v>
      </c>
      <c r="BL176" s="16">
        <v>248.58165</v>
      </c>
      <c r="BM176" s="10">
        <v>45884</v>
      </c>
      <c r="BN176" s="10">
        <v>45889</v>
      </c>
      <c r="BO176" s="10"/>
      <c r="BP176" s="16"/>
      <c r="BQ176" s="16"/>
      <c r="BR176" s="9"/>
      <c r="BS176" s="9"/>
      <c r="BT176" s="9"/>
      <c r="BU176" s="9"/>
      <c r="BV176" s="9"/>
      <c r="BW176" s="10"/>
      <c r="BX176" s="15" t="s">
        <v>2302</v>
      </c>
      <c r="BY176" s="10"/>
      <c r="BZ176" s="10"/>
      <c r="CA176" s="10"/>
      <c r="CC176" s="9" t="s">
        <v>308</v>
      </c>
      <c r="CD176" s="9" t="s">
        <v>309</v>
      </c>
    </row>
    <row r="177" spans="1:82">
      <c r="A177" s="8">
        <v>29888</v>
      </c>
      <c r="B177" s="9" t="s">
        <v>2303</v>
      </c>
      <c r="C177" s="9" t="s">
        <v>932</v>
      </c>
      <c r="D177" s="10">
        <v>45644</v>
      </c>
      <c r="E177" s="9" t="s">
        <v>2304</v>
      </c>
      <c r="F177" s="9" t="s">
        <v>2305</v>
      </c>
      <c r="G177" s="9" t="s">
        <v>2306</v>
      </c>
      <c r="H177" s="9" t="s">
        <v>281</v>
      </c>
      <c r="I177" s="9" t="s">
        <v>282</v>
      </c>
      <c r="J177" s="9" t="s">
        <v>283</v>
      </c>
      <c r="K177" s="9" t="s">
        <v>284</v>
      </c>
      <c r="L177" s="9" t="s">
        <v>2307</v>
      </c>
      <c r="M177" s="9" t="s">
        <v>2308</v>
      </c>
      <c r="N177" s="8">
        <v>2</v>
      </c>
      <c r="O177" s="9" t="s">
        <v>2309</v>
      </c>
      <c r="P177" s="11">
        <v>421.2</v>
      </c>
      <c r="Q177" s="11">
        <v>440</v>
      </c>
      <c r="R177" s="11">
        <v>333.4</v>
      </c>
      <c r="S177" s="11">
        <v>1182.8</v>
      </c>
      <c r="T177" s="11">
        <v>498195.36</v>
      </c>
      <c r="U177" s="12">
        <v>5.2999999999999999E-2</v>
      </c>
      <c r="V177" s="12">
        <v>0.85599999999999998</v>
      </c>
      <c r="W177" s="11">
        <v>1141.0999999999999</v>
      </c>
      <c r="X177" s="9" t="s">
        <v>288</v>
      </c>
      <c r="Y177" s="10">
        <v>45005</v>
      </c>
      <c r="Z177" s="13">
        <v>0.13120000000000001</v>
      </c>
      <c r="AC177" s="9" t="s">
        <v>289</v>
      </c>
      <c r="AD177" s="9" t="s">
        <v>290</v>
      </c>
      <c r="AE177" s="8">
        <v>1870.229</v>
      </c>
      <c r="AF177" s="14">
        <v>45.474550000000001</v>
      </c>
      <c r="AG177" s="14">
        <v>5.2707100000000002</v>
      </c>
      <c r="AH177" s="9" t="s">
        <v>483</v>
      </c>
      <c r="AI177" s="15" t="s">
        <v>396</v>
      </c>
      <c r="AJ177" s="9" t="s">
        <v>293</v>
      </c>
      <c r="AK177" s="9" t="s">
        <v>2310</v>
      </c>
      <c r="AL177" s="9" t="s">
        <v>2311</v>
      </c>
      <c r="AM177" s="9"/>
      <c r="AN177" s="9" t="s">
        <v>2312</v>
      </c>
      <c r="AO177" s="9"/>
      <c r="AP177" s="9" t="s">
        <v>43</v>
      </c>
      <c r="AQ177" s="9" t="s">
        <v>847</v>
      </c>
      <c r="AR177" t="b">
        <v>0</v>
      </c>
      <c r="AS177" s="10"/>
      <c r="AT177" s="10" t="s">
        <v>299</v>
      </c>
      <c r="AU177" s="9"/>
      <c r="AV177" t="b">
        <v>0</v>
      </c>
      <c r="AW177" s="12"/>
      <c r="AX177" s="11"/>
      <c r="AY177" s="9"/>
      <c r="AZ177" t="b">
        <v>0</v>
      </c>
      <c r="BA177" s="9"/>
      <c r="BB177" s="12"/>
      <c r="BC177" s="11"/>
      <c r="BD177" s="9" t="s">
        <v>300</v>
      </c>
      <c r="BE177" s="9" t="s">
        <v>301</v>
      </c>
      <c r="BF177" s="9" t="s">
        <v>690</v>
      </c>
      <c r="BG177" s="9" t="s">
        <v>967</v>
      </c>
      <c r="BH177" s="9" t="s">
        <v>304</v>
      </c>
      <c r="BI177" s="9" t="s">
        <v>943</v>
      </c>
      <c r="BJ177" s="9" t="s">
        <v>944</v>
      </c>
      <c r="BK177" s="11">
        <v>856</v>
      </c>
      <c r="BL177" s="16">
        <v>219.68039999999999</v>
      </c>
      <c r="BM177" s="10">
        <v>45690</v>
      </c>
      <c r="BN177" s="10">
        <v>45734</v>
      </c>
      <c r="BO177" s="10"/>
      <c r="BP177" s="16"/>
      <c r="BQ177" s="16"/>
      <c r="BR177" s="9" t="s">
        <v>2313</v>
      </c>
      <c r="BS177" s="9" t="s">
        <v>2314</v>
      </c>
      <c r="BT177" s="9" t="s">
        <v>2315</v>
      </c>
      <c r="BU177" s="9" t="s">
        <v>2305</v>
      </c>
      <c r="BV177" s="9"/>
      <c r="BW177" s="10"/>
      <c r="BX177" s="15" t="s">
        <v>2109</v>
      </c>
      <c r="BY177" s="10"/>
      <c r="BZ177" s="10"/>
      <c r="CA177" s="10"/>
      <c r="CC177" s="9" t="s">
        <v>308</v>
      </c>
      <c r="CD177" s="9" t="s">
        <v>309</v>
      </c>
    </row>
    <row r="178" spans="1:82">
      <c r="A178" s="8">
        <v>22147</v>
      </c>
      <c r="B178" s="9" t="s">
        <v>2316</v>
      </c>
      <c r="C178" s="9" t="s">
        <v>1204</v>
      </c>
      <c r="D178" s="10">
        <v>45642</v>
      </c>
      <c r="E178" s="9" t="s">
        <v>2317</v>
      </c>
      <c r="F178" s="9" t="s">
        <v>694</v>
      </c>
      <c r="G178" s="9" t="s">
        <v>695</v>
      </c>
      <c r="H178" s="9" t="s">
        <v>281</v>
      </c>
      <c r="I178" s="9" t="s">
        <v>282</v>
      </c>
      <c r="J178" s="9" t="s">
        <v>283</v>
      </c>
      <c r="K178" s="9" t="s">
        <v>284</v>
      </c>
      <c r="L178" s="9" t="s">
        <v>2318</v>
      </c>
      <c r="M178" s="9" t="s">
        <v>2319</v>
      </c>
      <c r="N178" s="8">
        <v>1</v>
      </c>
      <c r="O178" s="9" t="s">
        <v>2320</v>
      </c>
      <c r="P178" s="11">
        <v>97.11</v>
      </c>
      <c r="Q178" s="11">
        <v>110</v>
      </c>
      <c r="R178" s="11">
        <v>83.3</v>
      </c>
      <c r="S178" s="11">
        <v>1471</v>
      </c>
      <c r="T178" s="11">
        <v>142848.81</v>
      </c>
      <c r="U178" s="12">
        <v>5.3999999999999999E-2</v>
      </c>
      <c r="V178" s="12">
        <v>0.85499999999999998</v>
      </c>
      <c r="W178" s="11">
        <v>1437.9</v>
      </c>
      <c r="X178" s="9" t="s">
        <v>288</v>
      </c>
      <c r="Y178" s="10">
        <v>44708</v>
      </c>
      <c r="Z178" s="13">
        <v>0.12429999999999999</v>
      </c>
      <c r="AC178" s="9" t="s">
        <v>289</v>
      </c>
      <c r="AD178" s="9" t="s">
        <v>290</v>
      </c>
      <c r="AE178" s="8">
        <v>453.22805</v>
      </c>
      <c r="AF178" s="14">
        <v>43.297058</v>
      </c>
      <c r="AG178" s="14">
        <v>2.6659549999999999</v>
      </c>
      <c r="AH178" s="9" t="s">
        <v>483</v>
      </c>
      <c r="AI178" s="15" t="s">
        <v>319</v>
      </c>
      <c r="AJ178" s="9" t="s">
        <v>293</v>
      </c>
      <c r="AK178" s="9" t="s">
        <v>2321</v>
      </c>
      <c r="AL178" s="9" t="s">
        <v>2322</v>
      </c>
      <c r="AM178" s="9"/>
      <c r="AN178" s="9" t="s">
        <v>2323</v>
      </c>
      <c r="AO178" s="9" t="s">
        <v>2324</v>
      </c>
      <c r="AP178" s="9" t="s">
        <v>93</v>
      </c>
      <c r="AQ178" s="9" t="s">
        <v>372</v>
      </c>
      <c r="AR178" t="b">
        <v>0</v>
      </c>
      <c r="AS178" s="10"/>
      <c r="AT178" s="10" t="s">
        <v>299</v>
      </c>
      <c r="AU178" s="9"/>
      <c r="AV178" t="b">
        <v>0</v>
      </c>
      <c r="AW178" s="12"/>
      <c r="AX178" s="11"/>
      <c r="AY178" s="9"/>
      <c r="AZ178" t="b">
        <v>0</v>
      </c>
      <c r="BA178" s="9"/>
      <c r="BB178" s="12"/>
      <c r="BC178" s="11"/>
      <c r="BD178" s="9" t="s">
        <v>325</v>
      </c>
      <c r="BE178" s="9" t="s">
        <v>86</v>
      </c>
      <c r="BF178" s="9" t="s">
        <v>356</v>
      </c>
      <c r="BG178" s="9" t="s">
        <v>738</v>
      </c>
      <c r="BH178" s="9" t="s">
        <v>304</v>
      </c>
      <c r="BI178" s="9" t="s">
        <v>1213</v>
      </c>
      <c r="BJ178" s="9" t="s">
        <v>1214</v>
      </c>
      <c r="BK178" s="11">
        <v>856</v>
      </c>
      <c r="BL178" s="16">
        <v>100.73936999999999</v>
      </c>
      <c r="BM178" s="10">
        <v>45661</v>
      </c>
      <c r="BN178" s="10">
        <v>45792</v>
      </c>
      <c r="BO178" s="10"/>
      <c r="BP178" s="16"/>
      <c r="BQ178" s="16"/>
      <c r="BR178" s="9"/>
      <c r="BS178" s="9"/>
      <c r="BT178" s="9"/>
      <c r="BU178" s="9"/>
      <c r="BV178" s="9"/>
      <c r="BW178" s="10"/>
      <c r="BX178" s="15" t="s">
        <v>2325</v>
      </c>
      <c r="BY178" s="10"/>
      <c r="BZ178" s="10"/>
      <c r="CA178" s="10"/>
      <c r="CC178" s="9" t="s">
        <v>308</v>
      </c>
      <c r="CD178" s="9" t="s">
        <v>309</v>
      </c>
    </row>
    <row r="179" spans="1:82">
      <c r="A179" s="8">
        <v>12450</v>
      </c>
      <c r="B179" s="9" t="s">
        <v>2326</v>
      </c>
      <c r="C179" s="9" t="s">
        <v>1204</v>
      </c>
      <c r="D179" s="10">
        <v>45636</v>
      </c>
      <c r="E179" s="9" t="s">
        <v>2327</v>
      </c>
      <c r="F179" s="9" t="s">
        <v>2328</v>
      </c>
      <c r="G179" s="9" t="s">
        <v>2329</v>
      </c>
      <c r="H179" s="9" t="s">
        <v>281</v>
      </c>
      <c r="I179" s="9" t="s">
        <v>282</v>
      </c>
      <c r="J179" s="9" t="s">
        <v>283</v>
      </c>
      <c r="K179" s="9" t="s">
        <v>284</v>
      </c>
      <c r="L179" s="9" t="s">
        <v>2330</v>
      </c>
      <c r="M179" s="9" t="s">
        <v>2331</v>
      </c>
      <c r="N179" s="8">
        <v>1</v>
      </c>
      <c r="O179" s="9" t="s">
        <v>2332</v>
      </c>
      <c r="P179" s="11">
        <v>201.14</v>
      </c>
      <c r="Q179" s="11">
        <v>165</v>
      </c>
      <c r="R179" s="11">
        <v>164.3</v>
      </c>
      <c r="S179" s="11">
        <v>1166</v>
      </c>
      <c r="T179" s="11">
        <v>234529.24</v>
      </c>
      <c r="U179" s="12">
        <v>5.3999999999999999E-2</v>
      </c>
      <c r="V179" s="12">
        <v>0.872</v>
      </c>
      <c r="W179" s="11">
        <v>1183.0999999999999</v>
      </c>
      <c r="X179" s="9" t="s">
        <v>288</v>
      </c>
      <c r="Y179" s="10">
        <v>44698</v>
      </c>
      <c r="Z179" s="13">
        <v>0.13120000000000001</v>
      </c>
      <c r="AC179" s="9" t="s">
        <v>289</v>
      </c>
      <c r="AD179" s="9" t="s">
        <v>290</v>
      </c>
      <c r="AE179" s="8">
        <v>903.14499999999998</v>
      </c>
      <c r="AF179" s="14">
        <v>44.68618</v>
      </c>
      <c r="AG179" s="14">
        <v>3.1929099999999999</v>
      </c>
      <c r="AH179" s="9" t="s">
        <v>483</v>
      </c>
      <c r="AI179" s="15" t="s">
        <v>319</v>
      </c>
      <c r="AJ179" s="9" t="s">
        <v>293</v>
      </c>
      <c r="AK179" s="9" t="s">
        <v>2333</v>
      </c>
      <c r="AL179" s="9" t="s">
        <v>2060</v>
      </c>
      <c r="AM179" s="9"/>
      <c r="AN179" s="9" t="s">
        <v>2061</v>
      </c>
      <c r="AO179" s="9"/>
      <c r="AP179" s="9" t="s">
        <v>113</v>
      </c>
      <c r="AQ179" s="9" t="s">
        <v>1212</v>
      </c>
      <c r="AR179" t="b">
        <v>0</v>
      </c>
      <c r="AS179" s="10"/>
      <c r="AT179" s="10" t="s">
        <v>299</v>
      </c>
      <c r="AU179" s="9"/>
      <c r="AV179" t="b">
        <v>0</v>
      </c>
      <c r="AW179" s="12"/>
      <c r="AX179" s="11"/>
      <c r="AY179" s="9"/>
      <c r="AZ179" t="b">
        <v>0</v>
      </c>
      <c r="BA179" s="9"/>
      <c r="BB179" s="12"/>
      <c r="BC179" s="11"/>
      <c r="BD179" s="9" t="s">
        <v>325</v>
      </c>
      <c r="BE179" s="9" t="s">
        <v>86</v>
      </c>
      <c r="BF179" s="9" t="s">
        <v>702</v>
      </c>
      <c r="BG179" s="9" t="s">
        <v>738</v>
      </c>
      <c r="BH179" s="9" t="s">
        <v>304</v>
      </c>
      <c r="BI179" s="9" t="s">
        <v>1213</v>
      </c>
      <c r="BJ179" s="9" t="s">
        <v>1214</v>
      </c>
      <c r="BK179" s="11">
        <v>856</v>
      </c>
      <c r="BL179" s="16">
        <v>138.91838000000001</v>
      </c>
      <c r="BM179" s="10">
        <v>45678</v>
      </c>
      <c r="BN179" s="10">
        <v>45793</v>
      </c>
      <c r="BO179" s="10"/>
      <c r="BP179" s="16"/>
      <c r="BQ179" s="16"/>
      <c r="BR179" s="9"/>
      <c r="BS179" s="9"/>
      <c r="BT179" s="9"/>
      <c r="BU179" s="9"/>
      <c r="BV179" s="9"/>
      <c r="BW179" s="10"/>
      <c r="BX179" s="15" t="s">
        <v>2062</v>
      </c>
      <c r="BY179" s="10"/>
      <c r="BZ179" s="10"/>
      <c r="CA179" s="10"/>
      <c r="CC179" s="9" t="s">
        <v>308</v>
      </c>
      <c r="CD179" s="9" t="s">
        <v>309</v>
      </c>
    </row>
    <row r="180" spans="1:82">
      <c r="A180" s="8">
        <v>32186</v>
      </c>
      <c r="B180" s="9" t="s">
        <v>2334</v>
      </c>
      <c r="C180" s="9" t="s">
        <v>970</v>
      </c>
      <c r="D180" s="10">
        <v>45636</v>
      </c>
      <c r="E180" s="9" t="s">
        <v>2335</v>
      </c>
      <c r="F180" s="9" t="s">
        <v>2336</v>
      </c>
      <c r="G180" s="9" t="s">
        <v>2337</v>
      </c>
      <c r="H180" s="9" t="s">
        <v>2338</v>
      </c>
      <c r="I180" s="9" t="s">
        <v>282</v>
      </c>
      <c r="J180" s="9" t="s">
        <v>719</v>
      </c>
      <c r="K180" s="9" t="s">
        <v>284</v>
      </c>
      <c r="L180" s="9" t="s">
        <v>2339</v>
      </c>
      <c r="M180" s="9" t="s">
        <v>2340</v>
      </c>
      <c r="N180" s="8">
        <v>1</v>
      </c>
      <c r="O180" s="9" t="s">
        <v>2341</v>
      </c>
      <c r="P180" s="11">
        <v>266.91000000000003</v>
      </c>
      <c r="Q180" s="11">
        <v>220</v>
      </c>
      <c r="R180" s="11">
        <v>253</v>
      </c>
      <c r="S180" s="11">
        <v>1204</v>
      </c>
      <c r="T180" s="11">
        <v>321359.64</v>
      </c>
      <c r="U180" s="12">
        <v>5.3999999999999999E-2</v>
      </c>
      <c r="V180" s="12">
        <v>0.85399999999999998</v>
      </c>
      <c r="W180" s="11">
        <v>1213.9000000000001</v>
      </c>
      <c r="X180" s="9" t="s">
        <v>288</v>
      </c>
      <c r="Y180" s="10">
        <v>44712</v>
      </c>
      <c r="Z180" s="13">
        <v>0.12870000000000001</v>
      </c>
      <c r="AC180" s="9" t="s">
        <v>289</v>
      </c>
      <c r="AD180" s="9" t="s">
        <v>290</v>
      </c>
      <c r="AE180" s="8">
        <v>1271.2389499999999</v>
      </c>
      <c r="AF180" s="14">
        <v>43.179780000000001</v>
      </c>
      <c r="AG180" s="14">
        <v>2.36998</v>
      </c>
      <c r="AH180" s="9" t="s">
        <v>483</v>
      </c>
      <c r="AI180" s="15" t="s">
        <v>319</v>
      </c>
      <c r="AJ180" s="9" t="s">
        <v>293</v>
      </c>
      <c r="AK180" s="9" t="s">
        <v>2342</v>
      </c>
      <c r="AL180" s="9" t="s">
        <v>2343</v>
      </c>
      <c r="AM180" s="9"/>
      <c r="AN180" s="9" t="s">
        <v>2344</v>
      </c>
      <c r="AO180" s="9" t="s">
        <v>2345</v>
      </c>
      <c r="AP180" s="9" t="s">
        <v>93</v>
      </c>
      <c r="AQ180" s="9" t="s">
        <v>2346</v>
      </c>
      <c r="AR180" t="b">
        <v>0</v>
      </c>
      <c r="AS180" s="10"/>
      <c r="AT180" s="10" t="s">
        <v>299</v>
      </c>
      <c r="AU180" s="9"/>
      <c r="AV180" t="b">
        <v>0</v>
      </c>
      <c r="AW180" s="12"/>
      <c r="AX180" s="11"/>
      <c r="AY180" s="9"/>
      <c r="AZ180" t="b">
        <v>0</v>
      </c>
      <c r="BA180" s="9"/>
      <c r="BB180" s="12"/>
      <c r="BC180" s="11"/>
      <c r="BD180" s="9" t="s">
        <v>325</v>
      </c>
      <c r="BE180" s="9" t="s">
        <v>301</v>
      </c>
      <c r="BF180" s="9" t="s">
        <v>702</v>
      </c>
      <c r="BG180" s="9" t="s">
        <v>738</v>
      </c>
      <c r="BH180" s="9" t="s">
        <v>304</v>
      </c>
      <c r="BI180" s="9" t="s">
        <v>981</v>
      </c>
      <c r="BJ180" s="9" t="s">
        <v>982</v>
      </c>
      <c r="BK180" s="11">
        <v>856</v>
      </c>
      <c r="BL180" s="16">
        <v>163.05597</v>
      </c>
      <c r="BM180" s="10">
        <v>45695</v>
      </c>
      <c r="BN180" s="10">
        <v>45744</v>
      </c>
      <c r="BO180" s="10"/>
      <c r="BP180" s="16"/>
      <c r="BQ180" s="16"/>
      <c r="BR180" s="9"/>
      <c r="BS180" s="9"/>
      <c r="BT180" s="9"/>
      <c r="BU180" s="9"/>
      <c r="BV180" s="9"/>
      <c r="BW180" s="10"/>
      <c r="BX180" s="15" t="s">
        <v>1984</v>
      </c>
      <c r="BY180" s="10"/>
      <c r="BZ180" s="10"/>
      <c r="CA180" s="10"/>
      <c r="CC180" s="9" t="s">
        <v>308</v>
      </c>
      <c r="CD180" s="9" t="s">
        <v>309</v>
      </c>
    </row>
    <row r="181" spans="1:82">
      <c r="A181" s="8">
        <v>86545</v>
      </c>
      <c r="B181" s="9" t="s">
        <v>2347</v>
      </c>
      <c r="C181" s="9" t="s">
        <v>1257</v>
      </c>
      <c r="D181" s="10">
        <v>45629</v>
      </c>
      <c r="E181" s="9" t="s">
        <v>2348</v>
      </c>
      <c r="F181" s="9" t="s">
        <v>1158</v>
      </c>
      <c r="G181" s="9" t="s">
        <v>2349</v>
      </c>
      <c r="H181" s="9" t="s">
        <v>315</v>
      </c>
      <c r="I181" s="9" t="s">
        <v>282</v>
      </c>
      <c r="J181" s="9" t="s">
        <v>283</v>
      </c>
      <c r="K181" s="9" t="s">
        <v>284</v>
      </c>
      <c r="L181" s="9" t="s">
        <v>2350</v>
      </c>
      <c r="M181" s="9" t="s">
        <v>2351</v>
      </c>
      <c r="N181" s="8">
        <v>1</v>
      </c>
      <c r="O181" s="9" t="s">
        <v>2352</v>
      </c>
      <c r="P181" s="11">
        <v>225.22499999999999</v>
      </c>
      <c r="Q181" s="11">
        <v>220</v>
      </c>
      <c r="R181" s="11">
        <v>169</v>
      </c>
      <c r="S181" s="11">
        <v>1045</v>
      </c>
      <c r="T181" s="11">
        <v>235360.125</v>
      </c>
      <c r="U181" s="12">
        <v>5.3999999999999999E-2</v>
      </c>
      <c r="V181" s="12">
        <v>0.85899999999999999</v>
      </c>
      <c r="W181" s="11">
        <v>1014.6</v>
      </c>
      <c r="X181" s="9" t="s">
        <v>288</v>
      </c>
      <c r="Y181" s="10">
        <v>45023</v>
      </c>
      <c r="Z181" s="13">
        <v>0.13120000000000001</v>
      </c>
      <c r="AC181" s="9" t="s">
        <v>289</v>
      </c>
      <c r="AD181" s="9" t="s">
        <v>290</v>
      </c>
      <c r="AE181" s="8">
        <v>989.06345999999996</v>
      </c>
      <c r="AF181" s="14">
        <v>46.297110000000004</v>
      </c>
      <c r="AG181" s="14">
        <v>1.46821</v>
      </c>
      <c r="AH181" s="9" t="s">
        <v>483</v>
      </c>
      <c r="AI181" s="15" t="s">
        <v>319</v>
      </c>
      <c r="AJ181" s="9" t="s">
        <v>293</v>
      </c>
      <c r="AK181" s="9" t="s">
        <v>2353</v>
      </c>
      <c r="AL181" s="9" t="s">
        <v>2354</v>
      </c>
      <c r="AM181" s="9"/>
      <c r="AN181" s="9" t="s">
        <v>2355</v>
      </c>
      <c r="AO181" s="9"/>
      <c r="AP181" s="9" t="s">
        <v>93</v>
      </c>
      <c r="AQ181" s="9" t="s">
        <v>324</v>
      </c>
      <c r="AR181" t="b">
        <v>1</v>
      </c>
      <c r="AS181" s="10">
        <v>45657</v>
      </c>
      <c r="AT181" s="10">
        <v>46022</v>
      </c>
      <c r="AU181" s="9" t="s">
        <v>612</v>
      </c>
      <c r="AV181" t="b">
        <v>0</v>
      </c>
      <c r="AW181" s="12"/>
      <c r="AX181" s="11"/>
      <c r="AY181" s="9"/>
      <c r="AZ181" t="b">
        <v>0</v>
      </c>
      <c r="BA181" s="9"/>
      <c r="BB181" s="12"/>
      <c r="BC181" s="11"/>
      <c r="BD181" s="9" t="s">
        <v>325</v>
      </c>
      <c r="BE181" s="9" t="s">
        <v>47</v>
      </c>
      <c r="BF181" s="9" t="s">
        <v>402</v>
      </c>
      <c r="BG181" s="9" t="s">
        <v>529</v>
      </c>
      <c r="BH181" s="9" t="s">
        <v>304</v>
      </c>
      <c r="BI181" s="9" t="s">
        <v>1267</v>
      </c>
      <c r="BJ181" s="9" t="s">
        <v>1268</v>
      </c>
      <c r="BK181" s="11">
        <v>856</v>
      </c>
      <c r="BL181" s="16">
        <v>147.757575</v>
      </c>
      <c r="BM181" s="10">
        <v>45661</v>
      </c>
      <c r="BN181" s="10">
        <v>45792</v>
      </c>
      <c r="BO181" s="10"/>
      <c r="BP181" s="16"/>
      <c r="BQ181" s="16"/>
      <c r="BR181" s="9" t="s">
        <v>2356</v>
      </c>
      <c r="BS181" s="9" t="s">
        <v>2357</v>
      </c>
      <c r="BT181" s="9" t="s">
        <v>2349</v>
      </c>
      <c r="BU181" s="9" t="s">
        <v>1158</v>
      </c>
      <c r="BV181" s="9"/>
      <c r="BW181" s="10"/>
      <c r="BX181" s="15" t="s">
        <v>458</v>
      </c>
      <c r="BY181" s="10"/>
      <c r="BZ181" s="10"/>
      <c r="CA181" s="10"/>
      <c r="CC181" s="9" t="s">
        <v>308</v>
      </c>
      <c r="CD181" s="9" t="s">
        <v>309</v>
      </c>
    </row>
    <row r="182" spans="1:82" ht="43.5">
      <c r="A182" s="8">
        <v>59718</v>
      </c>
      <c r="B182" s="9" t="s">
        <v>2358</v>
      </c>
      <c r="C182" s="9" t="s">
        <v>970</v>
      </c>
      <c r="D182" s="10">
        <v>45624</v>
      </c>
      <c r="E182" s="9" t="s">
        <v>2359</v>
      </c>
      <c r="F182" s="9" t="s">
        <v>1247</v>
      </c>
      <c r="G182" s="9" t="s">
        <v>1248</v>
      </c>
      <c r="H182" s="9" t="s">
        <v>281</v>
      </c>
      <c r="I182" s="9" t="s">
        <v>282</v>
      </c>
      <c r="J182" s="9" t="s">
        <v>283</v>
      </c>
      <c r="K182" s="9" t="s">
        <v>284</v>
      </c>
      <c r="L182" s="9" t="s">
        <v>2360</v>
      </c>
      <c r="M182" s="9" t="s">
        <v>2361</v>
      </c>
      <c r="N182" s="8">
        <v>1</v>
      </c>
      <c r="O182" s="9" t="s">
        <v>2362</v>
      </c>
      <c r="P182" s="11">
        <v>331.08</v>
      </c>
      <c r="Q182" s="11">
        <v>250</v>
      </c>
      <c r="R182" s="11">
        <v>249.9</v>
      </c>
      <c r="S182" s="11">
        <v>1175</v>
      </c>
      <c r="T182" s="11">
        <v>389019</v>
      </c>
      <c r="U182" s="12">
        <v>5.3999999999999999E-2</v>
      </c>
      <c r="V182" s="12">
        <v>0.85299999999999998</v>
      </c>
      <c r="W182" s="11">
        <v>1145.5</v>
      </c>
      <c r="X182" s="9" t="s">
        <v>288</v>
      </c>
      <c r="Y182" s="10">
        <v>45006</v>
      </c>
      <c r="Z182" s="13">
        <v>0.13120000000000001</v>
      </c>
      <c r="AC182" s="9" t="s">
        <v>289</v>
      </c>
      <c r="AD182" s="9" t="s">
        <v>290</v>
      </c>
      <c r="AE182" s="8">
        <v>1486.5923499999999</v>
      </c>
      <c r="AF182" s="14">
        <v>44.162840000000003</v>
      </c>
      <c r="AG182" s="14">
        <v>0.47994999999999999</v>
      </c>
      <c r="AH182" s="9" t="s">
        <v>483</v>
      </c>
      <c r="AI182" s="15" t="s">
        <v>396</v>
      </c>
      <c r="AJ182" s="9" t="s">
        <v>293</v>
      </c>
      <c r="AK182" s="9" t="s">
        <v>2363</v>
      </c>
      <c r="AL182" s="9" t="s">
        <v>2364</v>
      </c>
      <c r="AM182" s="9"/>
      <c r="AN182" s="9" t="s">
        <v>2365</v>
      </c>
      <c r="AO182" s="9"/>
      <c r="AP182" s="9" t="s">
        <v>293</v>
      </c>
      <c r="AQ182" s="9" t="s">
        <v>293</v>
      </c>
      <c r="AR182" t="b">
        <v>0</v>
      </c>
      <c r="AS182" s="10"/>
      <c r="AT182" s="10" t="s">
        <v>299</v>
      </c>
      <c r="AU182" s="9"/>
      <c r="AV182" t="b">
        <v>0</v>
      </c>
      <c r="AW182" s="12"/>
      <c r="AX182" s="11"/>
      <c r="AY182" s="9"/>
      <c r="AZ182" t="b">
        <v>0</v>
      </c>
      <c r="BA182" s="9"/>
      <c r="BB182" s="12"/>
      <c r="BC182" s="11"/>
      <c r="BD182" s="9" t="s">
        <v>325</v>
      </c>
      <c r="BE182" s="9" t="s">
        <v>301</v>
      </c>
      <c r="BF182" s="9" t="s">
        <v>356</v>
      </c>
      <c r="BG182" s="9" t="s">
        <v>749</v>
      </c>
      <c r="BH182" s="9" t="s">
        <v>304</v>
      </c>
      <c r="BI182" s="9" t="s">
        <v>981</v>
      </c>
      <c r="BJ182" s="9" t="s">
        <v>982</v>
      </c>
      <c r="BK182" s="11">
        <v>856</v>
      </c>
      <c r="BL182" s="16">
        <v>186.60636</v>
      </c>
      <c r="BM182" s="10">
        <v>45661</v>
      </c>
      <c r="BN182" s="10">
        <v>45792</v>
      </c>
      <c r="BO182" s="10"/>
      <c r="BP182" s="16"/>
      <c r="BQ182" s="16"/>
      <c r="BR182" s="9" t="s">
        <v>2363</v>
      </c>
      <c r="BS182" s="9" t="s">
        <v>2366</v>
      </c>
      <c r="BT182" s="9" t="s">
        <v>2367</v>
      </c>
      <c r="BU182" s="9" t="s">
        <v>1247</v>
      </c>
      <c r="BV182" s="9"/>
      <c r="BW182" s="10"/>
      <c r="BX182" s="15" t="s">
        <v>2368</v>
      </c>
      <c r="BY182" s="10"/>
      <c r="BZ182" s="10"/>
      <c r="CA182" s="10"/>
      <c r="CC182" s="9" t="s">
        <v>308</v>
      </c>
      <c r="CD182" s="9" t="s">
        <v>309</v>
      </c>
    </row>
    <row r="183" spans="1:82">
      <c r="A183" s="8">
        <v>27334</v>
      </c>
      <c r="B183" s="9" t="s">
        <v>2369</v>
      </c>
      <c r="C183" s="9" t="s">
        <v>932</v>
      </c>
      <c r="D183" s="10">
        <v>45623</v>
      </c>
      <c r="E183" s="9" t="s">
        <v>2370</v>
      </c>
      <c r="F183" s="9" t="s">
        <v>2371</v>
      </c>
      <c r="G183" s="9" t="s">
        <v>2372</v>
      </c>
      <c r="H183" s="9" t="s">
        <v>281</v>
      </c>
      <c r="I183" s="9" t="s">
        <v>282</v>
      </c>
      <c r="J183" s="9" t="s">
        <v>283</v>
      </c>
      <c r="K183" s="9" t="s">
        <v>284</v>
      </c>
      <c r="L183" s="9" t="s">
        <v>2373</v>
      </c>
      <c r="M183" s="9" t="s">
        <v>2374</v>
      </c>
      <c r="N183" s="8">
        <v>1</v>
      </c>
      <c r="O183" s="9" t="s">
        <v>2375</v>
      </c>
      <c r="P183" s="11">
        <v>116.1</v>
      </c>
      <c r="Q183" s="11">
        <v>110</v>
      </c>
      <c r="R183" s="11">
        <v>98.6</v>
      </c>
      <c r="S183" s="11">
        <v>1417</v>
      </c>
      <c r="T183" s="11">
        <v>164513.70000000001</v>
      </c>
      <c r="U183" s="12">
        <v>5.3999999999999999E-2</v>
      </c>
      <c r="V183" s="12">
        <v>0.84899999999999998</v>
      </c>
      <c r="W183" s="11">
        <v>1391.3</v>
      </c>
      <c r="X183" s="9" t="s">
        <v>288</v>
      </c>
      <c r="Y183" s="10">
        <v>45027</v>
      </c>
      <c r="Z183" s="13">
        <v>0.13120000000000001</v>
      </c>
      <c r="AC183" s="9" t="s">
        <v>289</v>
      </c>
      <c r="AD183" s="9" t="s">
        <v>290</v>
      </c>
      <c r="AE183" s="8">
        <v>544.80600000000004</v>
      </c>
      <c r="AF183" s="14">
        <v>43.498930000000001</v>
      </c>
      <c r="AG183" s="14">
        <v>3.5943999999999998</v>
      </c>
      <c r="AH183" s="9" t="s">
        <v>483</v>
      </c>
      <c r="AI183" s="15" t="s">
        <v>396</v>
      </c>
      <c r="AJ183" s="9" t="s">
        <v>293</v>
      </c>
      <c r="AK183" s="9" t="s">
        <v>2376</v>
      </c>
      <c r="AL183" s="9" t="s">
        <v>2377</v>
      </c>
      <c r="AM183" s="9"/>
      <c r="AN183" s="9" t="s">
        <v>2378</v>
      </c>
      <c r="AO183" s="9"/>
      <c r="AP183" s="9" t="s">
        <v>93</v>
      </c>
      <c r="AQ183" s="9" t="s">
        <v>2346</v>
      </c>
      <c r="AR183" t="b">
        <v>0</v>
      </c>
      <c r="AS183" s="10"/>
      <c r="AT183" s="10" t="s">
        <v>299</v>
      </c>
      <c r="AU183" s="9"/>
      <c r="AV183" t="b">
        <v>0</v>
      </c>
      <c r="AW183" s="12"/>
      <c r="AX183" s="11"/>
      <c r="AY183" s="9"/>
      <c r="AZ183" t="b">
        <v>0</v>
      </c>
      <c r="BA183" s="9"/>
      <c r="BB183" s="12"/>
      <c r="BC183" s="11"/>
      <c r="BD183" s="9" t="s">
        <v>325</v>
      </c>
      <c r="BE183" s="9" t="s">
        <v>301</v>
      </c>
      <c r="BF183" s="9" t="s">
        <v>690</v>
      </c>
      <c r="BG183" s="9" t="s">
        <v>738</v>
      </c>
      <c r="BH183" s="9" t="s">
        <v>304</v>
      </c>
      <c r="BI183" s="9" t="s">
        <v>943</v>
      </c>
      <c r="BJ183" s="9" t="s">
        <v>944</v>
      </c>
      <c r="BK183" s="11">
        <v>856</v>
      </c>
      <c r="BL183" s="16">
        <v>107.70869999999999</v>
      </c>
      <c r="BM183" s="10">
        <v>45639</v>
      </c>
      <c r="BN183" s="10">
        <v>45744</v>
      </c>
      <c r="BO183" s="10"/>
      <c r="BP183" s="16"/>
      <c r="BQ183" s="16"/>
      <c r="BR183" s="9" t="s">
        <v>2379</v>
      </c>
      <c r="BS183" s="9" t="s">
        <v>2380</v>
      </c>
      <c r="BT183" s="9" t="s">
        <v>2372</v>
      </c>
      <c r="BU183" s="9" t="s">
        <v>2371</v>
      </c>
      <c r="BV183" s="9" t="s">
        <v>2381</v>
      </c>
      <c r="BW183" s="10"/>
      <c r="BX183" s="15" t="s">
        <v>2382</v>
      </c>
      <c r="BY183" s="10"/>
      <c r="BZ183" s="10"/>
      <c r="CA183" s="10"/>
      <c r="CC183" s="9" t="s">
        <v>308</v>
      </c>
      <c r="CD183" s="9" t="s">
        <v>309</v>
      </c>
    </row>
    <row r="184" spans="1:82" ht="29.1">
      <c r="A184" s="8">
        <v>28505</v>
      </c>
      <c r="B184" s="9" t="s">
        <v>2383</v>
      </c>
      <c r="C184" s="9" t="s">
        <v>475</v>
      </c>
      <c r="D184" s="10">
        <v>45622</v>
      </c>
      <c r="E184" s="9" t="s">
        <v>2384</v>
      </c>
      <c r="F184" s="9" t="s">
        <v>2385</v>
      </c>
      <c r="G184" s="9" t="s">
        <v>2386</v>
      </c>
      <c r="H184" s="9" t="s">
        <v>281</v>
      </c>
      <c r="I184" s="9" t="s">
        <v>282</v>
      </c>
      <c r="J184" s="9" t="s">
        <v>283</v>
      </c>
      <c r="K184" s="9" t="s">
        <v>284</v>
      </c>
      <c r="L184" s="9" t="s">
        <v>2387</v>
      </c>
      <c r="M184" s="9" t="s">
        <v>2388</v>
      </c>
      <c r="N184" s="8">
        <v>2</v>
      </c>
      <c r="O184" s="9" t="s">
        <v>2389</v>
      </c>
      <c r="P184" s="11">
        <v>499.73500000000001</v>
      </c>
      <c r="Q184" s="11">
        <v>440</v>
      </c>
      <c r="R184" s="11">
        <v>410</v>
      </c>
      <c r="S184" s="11">
        <v>1184.99</v>
      </c>
      <c r="T184" s="11">
        <v>592180.97765000002</v>
      </c>
      <c r="U184" s="12">
        <v>5.2999999999999999E-2</v>
      </c>
      <c r="V184" s="12">
        <v>0.86099999999999999</v>
      </c>
      <c r="W184" s="11">
        <v>1239.0999999999999</v>
      </c>
      <c r="X184" s="9" t="s">
        <v>288</v>
      </c>
      <c r="Y184" s="10">
        <v>44722</v>
      </c>
      <c r="Z184" s="13">
        <v>0.13120000000000001</v>
      </c>
      <c r="AC184" s="9" t="s">
        <v>289</v>
      </c>
      <c r="AD184" s="9" t="s">
        <v>290</v>
      </c>
      <c r="AE184" s="8">
        <v>2227.8904600000001</v>
      </c>
      <c r="AF184" s="14">
        <v>44.165799999999997</v>
      </c>
      <c r="AG184" s="14">
        <v>2.7971200000000001</v>
      </c>
      <c r="AH184" s="9" t="s">
        <v>483</v>
      </c>
      <c r="AI184" s="15" t="s">
        <v>2390</v>
      </c>
      <c r="AJ184" s="9" t="s">
        <v>293</v>
      </c>
      <c r="AK184" s="9" t="s">
        <v>2391</v>
      </c>
      <c r="AL184" s="9" t="s">
        <v>2392</v>
      </c>
      <c r="AM184" s="9"/>
      <c r="AN184" s="9" t="s">
        <v>2393</v>
      </c>
      <c r="AO184" s="9"/>
      <c r="AP184" s="9" t="s">
        <v>113</v>
      </c>
      <c r="AQ184" s="9" t="s">
        <v>2394</v>
      </c>
      <c r="AR184" t="b">
        <v>0</v>
      </c>
      <c r="AS184" s="10"/>
      <c r="AT184" s="10" t="s">
        <v>299</v>
      </c>
      <c r="AU184" s="9"/>
      <c r="AV184" t="b">
        <v>0</v>
      </c>
      <c r="AW184" s="12"/>
      <c r="AX184" s="11"/>
      <c r="AY184" s="9"/>
      <c r="AZ184" t="b">
        <v>0</v>
      </c>
      <c r="BA184" s="9"/>
      <c r="BB184" s="12"/>
      <c r="BC184" s="11"/>
      <c r="BD184" s="9" t="s">
        <v>325</v>
      </c>
      <c r="BE184" s="9" t="s">
        <v>47</v>
      </c>
      <c r="BF184" s="9" t="s">
        <v>702</v>
      </c>
      <c r="BG184" s="9" t="s">
        <v>738</v>
      </c>
      <c r="BH184" s="9" t="s">
        <v>304</v>
      </c>
      <c r="BI184" s="9" t="s">
        <v>490</v>
      </c>
      <c r="BJ184" s="9" t="s">
        <v>491</v>
      </c>
      <c r="BK184" s="11">
        <v>856</v>
      </c>
      <c r="BL184" s="16">
        <v>248.502745</v>
      </c>
      <c r="BM184" s="10">
        <v>45639</v>
      </c>
      <c r="BN184" s="10">
        <v>45640</v>
      </c>
      <c r="BO184" s="10"/>
      <c r="BP184" s="16"/>
      <c r="BQ184" s="16"/>
      <c r="BR184" s="9"/>
      <c r="BS184" s="9"/>
      <c r="BT184" s="9"/>
      <c r="BU184" s="9"/>
      <c r="BV184" s="9"/>
      <c r="BW184" s="10"/>
      <c r="BX184" s="15" t="s">
        <v>2395</v>
      </c>
      <c r="BY184" s="10">
        <v>45721</v>
      </c>
      <c r="BZ184" s="10">
        <v>52805</v>
      </c>
      <c r="CA184" s="10">
        <v>45888</v>
      </c>
      <c r="CC184" s="9" t="s">
        <v>308</v>
      </c>
      <c r="CD184" s="9" t="s">
        <v>309</v>
      </c>
    </row>
    <row r="185" spans="1:82">
      <c r="A185" s="8">
        <v>87687</v>
      </c>
      <c r="B185" s="9" t="s">
        <v>2396</v>
      </c>
      <c r="C185" s="9" t="s">
        <v>970</v>
      </c>
      <c r="D185" s="10">
        <v>45617</v>
      </c>
      <c r="E185" s="9" t="s">
        <v>2397</v>
      </c>
      <c r="F185" s="9" t="s">
        <v>630</v>
      </c>
      <c r="G185" s="9" t="s">
        <v>1684</v>
      </c>
      <c r="H185" s="9" t="s">
        <v>281</v>
      </c>
      <c r="I185" s="9" t="s">
        <v>282</v>
      </c>
      <c r="J185" s="9" t="s">
        <v>283</v>
      </c>
      <c r="K185" s="9" t="s">
        <v>284</v>
      </c>
      <c r="L185" s="9" t="s">
        <v>2398</v>
      </c>
      <c r="M185" s="9" t="s">
        <v>2399</v>
      </c>
      <c r="N185" s="8">
        <v>1</v>
      </c>
      <c r="O185" s="9" t="s">
        <v>2400</v>
      </c>
      <c r="P185" s="11">
        <v>204.7</v>
      </c>
      <c r="Q185" s="11">
        <v>220</v>
      </c>
      <c r="R185" s="11">
        <v>171</v>
      </c>
      <c r="S185" s="11">
        <v>1040.79</v>
      </c>
      <c r="T185" s="11">
        <v>213049.71299999999</v>
      </c>
      <c r="U185" s="12">
        <v>5.2999999999999999E-2</v>
      </c>
      <c r="V185" s="12">
        <v>0.85899999999999999</v>
      </c>
      <c r="W185" s="11">
        <v>1011.9</v>
      </c>
      <c r="X185" s="9" t="s">
        <v>288</v>
      </c>
      <c r="Y185" s="10">
        <v>45040</v>
      </c>
      <c r="Z185" s="13">
        <v>0.13120000000000001</v>
      </c>
      <c r="AC185" s="9" t="s">
        <v>289</v>
      </c>
      <c r="AD185" s="9" t="s">
        <v>290</v>
      </c>
      <c r="AE185" s="8">
        <v>919.12968000000001</v>
      </c>
      <c r="AF185" s="14">
        <v>48.063870000000001</v>
      </c>
      <c r="AG185" s="14">
        <v>0.33155000000000001</v>
      </c>
      <c r="AH185" s="9" t="s">
        <v>483</v>
      </c>
      <c r="AI185" s="15" t="s">
        <v>396</v>
      </c>
      <c r="AJ185" s="9" t="s">
        <v>293</v>
      </c>
      <c r="AK185" s="9" t="s">
        <v>2401</v>
      </c>
      <c r="AL185" s="9" t="s">
        <v>2402</v>
      </c>
      <c r="AM185" s="9"/>
      <c r="AN185" s="9" t="s">
        <v>2403</v>
      </c>
      <c r="AO185" s="9"/>
      <c r="AP185" s="9" t="s">
        <v>113</v>
      </c>
      <c r="AQ185" s="9" t="s">
        <v>298</v>
      </c>
      <c r="AR185" t="b">
        <v>0</v>
      </c>
      <c r="AS185" s="10"/>
      <c r="AT185" s="10" t="s">
        <v>299</v>
      </c>
      <c r="AU185" s="9"/>
      <c r="AV185" t="b">
        <v>0</v>
      </c>
      <c r="AW185" s="12"/>
      <c r="AX185" s="11"/>
      <c r="AY185" s="9"/>
      <c r="AZ185" t="b">
        <v>0</v>
      </c>
      <c r="BA185" s="9"/>
      <c r="BB185" s="12"/>
      <c r="BC185" s="11"/>
      <c r="BD185" s="9" t="s">
        <v>300</v>
      </c>
      <c r="BE185" s="9" t="s">
        <v>301</v>
      </c>
      <c r="BF185" s="9" t="s">
        <v>402</v>
      </c>
      <c r="BG185" s="9" t="s">
        <v>529</v>
      </c>
      <c r="BH185" s="9" t="s">
        <v>304</v>
      </c>
      <c r="BI185" s="9" t="s">
        <v>981</v>
      </c>
      <c r="BJ185" s="9" t="s">
        <v>982</v>
      </c>
      <c r="BK185" s="11">
        <v>856</v>
      </c>
      <c r="BL185" s="16">
        <v>140.22489999999999</v>
      </c>
      <c r="BM185" s="10">
        <v>45648</v>
      </c>
      <c r="BN185" s="10">
        <v>45758</v>
      </c>
      <c r="BO185" s="10"/>
      <c r="BP185" s="16"/>
      <c r="BQ185" s="16"/>
      <c r="BR185" s="9" t="s">
        <v>2404</v>
      </c>
      <c r="BS185" s="9" t="s">
        <v>2405</v>
      </c>
      <c r="BT185" s="9" t="s">
        <v>2406</v>
      </c>
      <c r="BU185" s="9" t="s">
        <v>630</v>
      </c>
      <c r="BV185" s="9"/>
      <c r="BW185" s="10"/>
      <c r="BX185" s="15" t="s">
        <v>2407</v>
      </c>
      <c r="BY185" s="10"/>
      <c r="BZ185" s="10"/>
      <c r="CA185" s="10"/>
      <c r="CC185" s="9" t="s">
        <v>308</v>
      </c>
      <c r="CD185" s="9" t="s">
        <v>309</v>
      </c>
    </row>
    <row r="186" spans="1:82">
      <c r="A186" s="8">
        <v>28173</v>
      </c>
      <c r="B186" s="9" t="s">
        <v>2408</v>
      </c>
      <c r="C186" s="9" t="s">
        <v>1257</v>
      </c>
      <c r="D186" s="10">
        <v>45616</v>
      </c>
      <c r="E186" s="9" t="s">
        <v>2409</v>
      </c>
      <c r="F186" s="9" t="s">
        <v>2410</v>
      </c>
      <c r="G186" s="9" t="s">
        <v>2411</v>
      </c>
      <c r="H186" s="9" t="s">
        <v>315</v>
      </c>
      <c r="I186" s="9" t="s">
        <v>282</v>
      </c>
      <c r="J186" s="9" t="s">
        <v>603</v>
      </c>
      <c r="K186" s="9" t="s">
        <v>284</v>
      </c>
      <c r="L186" s="9" t="s">
        <v>2412</v>
      </c>
      <c r="M186" s="9" t="s">
        <v>2413</v>
      </c>
      <c r="N186" s="8">
        <v>1</v>
      </c>
      <c r="O186" s="9" t="s">
        <v>2414</v>
      </c>
      <c r="P186" s="11">
        <v>113.03</v>
      </c>
      <c r="Q186" s="11">
        <v>110</v>
      </c>
      <c r="R186" s="11">
        <v>99</v>
      </c>
      <c r="S186" s="11">
        <v>1221</v>
      </c>
      <c r="T186" s="11">
        <v>138009.63</v>
      </c>
      <c r="U186" s="12">
        <v>5.3999999999999999E-2</v>
      </c>
      <c r="V186" s="12">
        <v>0.86099999999999999</v>
      </c>
      <c r="W186" s="11">
        <v>1216.5999999999999</v>
      </c>
      <c r="X186" s="9" t="s">
        <v>288</v>
      </c>
      <c r="Y186" s="10">
        <v>45135</v>
      </c>
      <c r="Z186" s="13">
        <v>0.12740000000000001</v>
      </c>
      <c r="AC186" s="9" t="s">
        <v>289</v>
      </c>
      <c r="AD186" s="9" t="s">
        <v>290</v>
      </c>
      <c r="AE186" s="8">
        <v>507.51943</v>
      </c>
      <c r="AF186" s="14">
        <v>43.042940000000002</v>
      </c>
      <c r="AG186" s="14">
        <v>2.2398799999999999</v>
      </c>
      <c r="AH186" s="9" t="s">
        <v>483</v>
      </c>
      <c r="AI186" s="15" t="s">
        <v>2415</v>
      </c>
      <c r="AJ186" s="9" t="s">
        <v>293</v>
      </c>
      <c r="AK186" s="9" t="s">
        <v>2416</v>
      </c>
      <c r="AL186" s="9" t="s">
        <v>2417</v>
      </c>
      <c r="AM186" s="9"/>
      <c r="AN186" s="9" t="s">
        <v>2418</v>
      </c>
      <c r="AO186" s="9" t="s">
        <v>2419</v>
      </c>
      <c r="AP186" s="9" t="s">
        <v>93</v>
      </c>
      <c r="AQ186" s="9" t="s">
        <v>2420</v>
      </c>
      <c r="AR186" t="b">
        <v>1</v>
      </c>
      <c r="AS186" s="10">
        <v>46022</v>
      </c>
      <c r="AT186" s="10">
        <v>46022</v>
      </c>
      <c r="AU186" s="9" t="s">
        <v>1139</v>
      </c>
      <c r="AV186" t="b">
        <v>0</v>
      </c>
      <c r="AW186" s="12"/>
      <c r="AX186" s="11">
        <v>3000</v>
      </c>
      <c r="AY186" s="9" t="s">
        <v>471</v>
      </c>
      <c r="AZ186" t="b">
        <v>1</v>
      </c>
      <c r="BA186" s="9" t="s">
        <v>472</v>
      </c>
      <c r="BB186" s="12"/>
      <c r="BC186" s="11">
        <v>3000</v>
      </c>
      <c r="BD186" s="9" t="s">
        <v>325</v>
      </c>
      <c r="BE186" s="9" t="s">
        <v>47</v>
      </c>
      <c r="BF186" s="9" t="s">
        <v>702</v>
      </c>
      <c r="BG186" s="9" t="s">
        <v>738</v>
      </c>
      <c r="BH186" s="9" t="s">
        <v>304</v>
      </c>
      <c r="BI186" s="9" t="s">
        <v>1267</v>
      </c>
      <c r="BJ186" s="9" t="s">
        <v>1268</v>
      </c>
      <c r="BK186" s="11">
        <v>856</v>
      </c>
      <c r="BL186" s="16">
        <v>106.58201</v>
      </c>
      <c r="BM186" s="10">
        <v>45662</v>
      </c>
      <c r="BN186" s="10">
        <v>45735</v>
      </c>
      <c r="BO186" s="10"/>
      <c r="BP186" s="16"/>
      <c r="BQ186" s="16"/>
      <c r="BR186" s="9" t="s">
        <v>2421</v>
      </c>
      <c r="BS186" s="9" t="s">
        <v>2422</v>
      </c>
      <c r="BT186" s="9" t="s">
        <v>2423</v>
      </c>
      <c r="BU186" s="9" t="s">
        <v>2424</v>
      </c>
      <c r="BV186" s="9" t="s">
        <v>2425</v>
      </c>
      <c r="BW186" s="10"/>
      <c r="BX186" s="15" t="s">
        <v>2426</v>
      </c>
      <c r="BY186" s="10">
        <v>45616</v>
      </c>
      <c r="BZ186" s="10">
        <v>52920</v>
      </c>
      <c r="CA186" s="10">
        <v>45889</v>
      </c>
      <c r="CC186" s="9" t="s">
        <v>308</v>
      </c>
      <c r="CD186" s="9" t="s">
        <v>309</v>
      </c>
    </row>
    <row r="187" spans="1:82">
      <c r="A187" s="8">
        <v>79620</v>
      </c>
      <c r="B187" s="9" t="s">
        <v>2427</v>
      </c>
      <c r="C187" s="9" t="s">
        <v>1204</v>
      </c>
      <c r="D187" s="10">
        <v>45615</v>
      </c>
      <c r="E187" s="9" t="s">
        <v>2428</v>
      </c>
      <c r="F187" s="9" t="s">
        <v>2429</v>
      </c>
      <c r="G187" s="9" t="s">
        <v>2066</v>
      </c>
      <c r="H187" s="9" t="s">
        <v>2338</v>
      </c>
      <c r="I187" s="9" t="s">
        <v>282</v>
      </c>
      <c r="J187" s="9" t="s">
        <v>719</v>
      </c>
      <c r="K187" s="9" t="s">
        <v>284</v>
      </c>
      <c r="L187" s="9" t="s">
        <v>2430</v>
      </c>
      <c r="M187" s="9" t="s">
        <v>2431</v>
      </c>
      <c r="N187" s="8">
        <v>1</v>
      </c>
      <c r="O187" s="9" t="s">
        <v>2432</v>
      </c>
      <c r="P187" s="11">
        <v>146.85</v>
      </c>
      <c r="Q187" s="11">
        <v>125</v>
      </c>
      <c r="R187" s="11">
        <v>125</v>
      </c>
      <c r="S187" s="11">
        <v>1193.05</v>
      </c>
      <c r="T187" s="11">
        <v>175199.39249999999</v>
      </c>
      <c r="U187" s="12">
        <v>5.2999999999999999E-2</v>
      </c>
      <c r="V187" s="12">
        <v>0.85299999999999998</v>
      </c>
      <c r="W187" s="11">
        <v>1173</v>
      </c>
      <c r="X187" s="9" t="s">
        <v>288</v>
      </c>
      <c r="Y187" s="10">
        <v>44960</v>
      </c>
      <c r="Z187" s="13">
        <v>0.13120000000000001</v>
      </c>
      <c r="AA187" t="b">
        <v>1</v>
      </c>
      <c r="AC187" s="9" t="s">
        <v>289</v>
      </c>
      <c r="AD187" s="9" t="s">
        <v>290</v>
      </c>
      <c r="AE187" s="8">
        <v>659.37563999999998</v>
      </c>
      <c r="AF187" s="14">
        <v>43.771720000000002</v>
      </c>
      <c r="AG187" s="14">
        <v>2.1962700000000002</v>
      </c>
      <c r="AH187" s="9" t="s">
        <v>483</v>
      </c>
      <c r="AI187" s="15" t="s">
        <v>396</v>
      </c>
      <c r="AJ187" s="9" t="s">
        <v>293</v>
      </c>
      <c r="AK187" s="9" t="s">
        <v>2070</v>
      </c>
      <c r="AL187" s="9" t="s">
        <v>2072</v>
      </c>
      <c r="AM187" s="9"/>
      <c r="AN187" s="9" t="s">
        <v>2433</v>
      </c>
      <c r="AO187" s="9"/>
      <c r="AP187" s="9" t="s">
        <v>93</v>
      </c>
      <c r="AQ187" s="9" t="s">
        <v>372</v>
      </c>
      <c r="AR187" t="b">
        <v>0</v>
      </c>
      <c r="AS187" s="10"/>
      <c r="AT187" s="10" t="s">
        <v>299</v>
      </c>
      <c r="AU187" s="9"/>
      <c r="AV187" t="b">
        <v>0</v>
      </c>
      <c r="AW187" s="12"/>
      <c r="AX187" s="11"/>
      <c r="AY187" s="9"/>
      <c r="AZ187" t="b">
        <v>0</v>
      </c>
      <c r="BA187" s="9"/>
      <c r="BB187" s="12"/>
      <c r="BC187" s="11"/>
      <c r="BD187" s="9" t="s">
        <v>325</v>
      </c>
      <c r="BE187" s="9" t="s">
        <v>86</v>
      </c>
      <c r="BF187" s="9" t="s">
        <v>702</v>
      </c>
      <c r="BG187" s="9" t="s">
        <v>738</v>
      </c>
      <c r="BH187" s="9" t="s">
        <v>304</v>
      </c>
      <c r="BI187" s="9" t="s">
        <v>1213</v>
      </c>
      <c r="BJ187" s="9" t="s">
        <v>1214</v>
      </c>
      <c r="BK187" s="11">
        <v>856</v>
      </c>
      <c r="BL187" s="16">
        <v>118.99395</v>
      </c>
      <c r="BM187" s="10">
        <v>45630</v>
      </c>
      <c r="BN187" s="10">
        <v>45791</v>
      </c>
      <c r="BO187" s="10"/>
      <c r="BP187" s="16"/>
      <c r="BQ187" s="16"/>
      <c r="BR187" s="9" t="s">
        <v>2434</v>
      </c>
      <c r="BS187" s="9"/>
      <c r="BT187" s="9"/>
      <c r="BU187" s="9"/>
      <c r="BV187" s="9"/>
      <c r="BW187" s="10"/>
      <c r="BX187" s="15" t="s">
        <v>2435</v>
      </c>
      <c r="BY187" s="10"/>
      <c r="BZ187" s="10"/>
      <c r="CA187" s="10"/>
      <c r="CC187" s="9" t="s">
        <v>308</v>
      </c>
      <c r="CD187" s="9" t="s">
        <v>309</v>
      </c>
    </row>
    <row r="188" spans="1:82">
      <c r="A188" s="8">
        <v>58962</v>
      </c>
      <c r="B188" s="9" t="s">
        <v>2436</v>
      </c>
      <c r="C188" s="9" t="s">
        <v>970</v>
      </c>
      <c r="D188" s="10">
        <v>45615</v>
      </c>
      <c r="E188" s="9" t="s">
        <v>2437</v>
      </c>
      <c r="F188" s="9" t="s">
        <v>2438</v>
      </c>
      <c r="G188" s="9" t="s">
        <v>2439</v>
      </c>
      <c r="H188" s="9" t="s">
        <v>281</v>
      </c>
      <c r="I188" s="9" t="s">
        <v>282</v>
      </c>
      <c r="J188" s="9" t="s">
        <v>283</v>
      </c>
      <c r="K188" s="9" t="s">
        <v>284</v>
      </c>
      <c r="L188" s="9" t="s">
        <v>2440</v>
      </c>
      <c r="M188" s="9" t="s">
        <v>2441</v>
      </c>
      <c r="N188" s="8">
        <v>1</v>
      </c>
      <c r="O188" s="9" t="s">
        <v>2442</v>
      </c>
      <c r="P188" s="11">
        <v>324.22000000000003</v>
      </c>
      <c r="Q188" s="11">
        <v>250</v>
      </c>
      <c r="R188" s="11">
        <v>250</v>
      </c>
      <c r="S188" s="11">
        <v>1152</v>
      </c>
      <c r="T188" s="11">
        <v>373501.44</v>
      </c>
      <c r="U188" s="12">
        <v>5.3999999999999999E-2</v>
      </c>
      <c r="V188" s="12">
        <v>0.86299999999999999</v>
      </c>
      <c r="W188" s="11">
        <v>1060.2</v>
      </c>
      <c r="X188" s="9" t="s">
        <v>288</v>
      </c>
      <c r="Y188" s="10">
        <v>45006</v>
      </c>
      <c r="Z188" s="13">
        <v>0.13120000000000001</v>
      </c>
      <c r="AC188" s="9" t="s">
        <v>289</v>
      </c>
      <c r="AD188" s="9" t="s">
        <v>290</v>
      </c>
      <c r="AE188" s="8">
        <v>1521.4212</v>
      </c>
      <c r="AF188" s="14">
        <v>45.744700000000002</v>
      </c>
      <c r="AG188" s="14">
        <v>-0.92605000000000004</v>
      </c>
      <c r="AH188" s="9" t="s">
        <v>483</v>
      </c>
      <c r="AI188" s="15" t="s">
        <v>396</v>
      </c>
      <c r="AJ188" s="9" t="s">
        <v>293</v>
      </c>
      <c r="AK188" s="9" t="s">
        <v>2443</v>
      </c>
      <c r="AL188" s="9" t="s">
        <v>2444</v>
      </c>
      <c r="AM188" s="9"/>
      <c r="AN188" s="9" t="s">
        <v>2445</v>
      </c>
      <c r="AO188" s="9"/>
      <c r="AP188" s="9" t="s">
        <v>293</v>
      </c>
      <c r="AQ188" s="9" t="s">
        <v>293</v>
      </c>
      <c r="AR188" t="b">
        <v>0</v>
      </c>
      <c r="AS188" s="10"/>
      <c r="AT188" s="10" t="s">
        <v>299</v>
      </c>
      <c r="AU188" s="9"/>
      <c r="AV188" t="b">
        <v>0</v>
      </c>
      <c r="AW188" s="12"/>
      <c r="AX188" s="11"/>
      <c r="AY188" s="9"/>
      <c r="AZ188" t="b">
        <v>0</v>
      </c>
      <c r="BA188" s="9"/>
      <c r="BB188" s="12"/>
      <c r="BC188" s="11"/>
      <c r="BD188" s="9" t="s">
        <v>325</v>
      </c>
      <c r="BE188" s="9" t="s">
        <v>301</v>
      </c>
      <c r="BF188" s="9" t="s">
        <v>302</v>
      </c>
      <c r="BG188" s="9" t="s">
        <v>749</v>
      </c>
      <c r="BH188" s="9" t="s">
        <v>304</v>
      </c>
      <c r="BI188" s="9" t="s">
        <v>981</v>
      </c>
      <c r="BJ188" s="9" t="s">
        <v>982</v>
      </c>
      <c r="BK188" s="11">
        <v>856</v>
      </c>
      <c r="BL188" s="16">
        <v>184.08874</v>
      </c>
      <c r="BM188" s="10">
        <v>45646</v>
      </c>
      <c r="BN188" s="10">
        <v>45786</v>
      </c>
      <c r="BO188" s="10"/>
      <c r="BP188" s="16"/>
      <c r="BQ188" s="16"/>
      <c r="BR188" s="9" t="s">
        <v>2446</v>
      </c>
      <c r="BS188" s="9" t="s">
        <v>2447</v>
      </c>
      <c r="BT188" s="9" t="s">
        <v>2448</v>
      </c>
      <c r="BU188" s="9" t="s">
        <v>2449</v>
      </c>
      <c r="BV188" s="9" t="s">
        <v>2450</v>
      </c>
      <c r="BW188" s="10"/>
      <c r="BX188" s="15" t="s">
        <v>2451</v>
      </c>
      <c r="BY188" s="10"/>
      <c r="BZ188" s="10"/>
      <c r="CA188" s="10"/>
      <c r="CC188" s="9" t="s">
        <v>308</v>
      </c>
      <c r="CD188" s="9" t="s">
        <v>309</v>
      </c>
    </row>
    <row r="189" spans="1:82">
      <c r="A189" s="8">
        <v>19655</v>
      </c>
      <c r="B189" s="9" t="s">
        <v>2452</v>
      </c>
      <c r="C189" s="9" t="s">
        <v>932</v>
      </c>
      <c r="D189" s="10">
        <v>45615</v>
      </c>
      <c r="E189" s="9" t="s">
        <v>2453</v>
      </c>
      <c r="F189" s="9" t="s">
        <v>2429</v>
      </c>
      <c r="G189" s="9" t="s">
        <v>2066</v>
      </c>
      <c r="H189" s="9" t="s">
        <v>2338</v>
      </c>
      <c r="I189" s="9" t="s">
        <v>282</v>
      </c>
      <c r="J189" s="9" t="s">
        <v>719</v>
      </c>
      <c r="K189" s="9" t="s">
        <v>284</v>
      </c>
      <c r="L189" s="9" t="s">
        <v>2454</v>
      </c>
      <c r="M189" s="9" t="s">
        <v>2455</v>
      </c>
      <c r="N189" s="8">
        <v>1</v>
      </c>
      <c r="O189" s="9" t="s">
        <v>2456</v>
      </c>
      <c r="P189" s="11">
        <v>224.28</v>
      </c>
      <c r="Q189" s="11">
        <v>265</v>
      </c>
      <c r="R189" s="11">
        <v>260</v>
      </c>
      <c r="S189" s="11">
        <v>1146</v>
      </c>
      <c r="T189" s="11">
        <v>257024.88</v>
      </c>
      <c r="U189" s="12">
        <v>5.2999999999999999E-2</v>
      </c>
      <c r="V189" s="12">
        <v>0.85199999999999998</v>
      </c>
      <c r="W189" s="11">
        <v>1171.0999999999999</v>
      </c>
      <c r="X189" s="9" t="s">
        <v>288</v>
      </c>
      <c r="Y189" s="10">
        <v>44783</v>
      </c>
      <c r="Z189" s="13">
        <v>0.13120000000000001</v>
      </c>
      <c r="AC189" s="9" t="s">
        <v>289</v>
      </c>
      <c r="AD189" s="9" t="s">
        <v>290</v>
      </c>
      <c r="AE189" s="8">
        <v>1007.04643</v>
      </c>
      <c r="AF189" s="14">
        <v>43.768320000000003</v>
      </c>
      <c r="AG189" s="14">
        <v>2.1860900000000001</v>
      </c>
      <c r="AH189" s="9" t="s">
        <v>483</v>
      </c>
      <c r="AI189" s="15" t="s">
        <v>396</v>
      </c>
      <c r="AJ189" s="9" t="s">
        <v>293</v>
      </c>
      <c r="AK189" s="9" t="s">
        <v>2457</v>
      </c>
      <c r="AL189" s="9" t="s">
        <v>2072</v>
      </c>
      <c r="AM189" s="9" t="s">
        <v>2458</v>
      </c>
      <c r="AN189" s="9" t="s">
        <v>2459</v>
      </c>
      <c r="AO189" s="9"/>
      <c r="AP189" s="9" t="s">
        <v>93</v>
      </c>
      <c r="AQ189" s="9" t="s">
        <v>372</v>
      </c>
      <c r="AR189" t="b">
        <v>0</v>
      </c>
      <c r="AS189" s="10"/>
      <c r="AT189" s="10" t="s">
        <v>299</v>
      </c>
      <c r="AU189" s="9"/>
      <c r="AV189" t="b">
        <v>0</v>
      </c>
      <c r="AW189" s="12"/>
      <c r="AX189" s="11"/>
      <c r="AY189" s="9"/>
      <c r="AZ189" t="b">
        <v>0</v>
      </c>
      <c r="BA189" s="9"/>
      <c r="BB189" s="12"/>
      <c r="BC189" s="11"/>
      <c r="BD189" s="9" t="s">
        <v>325</v>
      </c>
      <c r="BE189" s="9" t="s">
        <v>301</v>
      </c>
      <c r="BF189" s="9" t="s">
        <v>702</v>
      </c>
      <c r="BG189" s="9" t="s">
        <v>738</v>
      </c>
      <c r="BH189" s="9" t="s">
        <v>304</v>
      </c>
      <c r="BI189" s="9" t="s">
        <v>943</v>
      </c>
      <c r="BJ189" s="9" t="s">
        <v>944</v>
      </c>
      <c r="BK189" s="11">
        <v>856</v>
      </c>
      <c r="BL189" s="16">
        <v>147.41076000000001</v>
      </c>
      <c r="BM189" s="10">
        <v>45631</v>
      </c>
      <c r="BN189" s="10">
        <v>45734</v>
      </c>
      <c r="BO189" s="10"/>
      <c r="BP189" s="16"/>
      <c r="BQ189" s="16"/>
      <c r="BR189" s="9" t="s">
        <v>2434</v>
      </c>
      <c r="BS189" s="9" t="s">
        <v>2460</v>
      </c>
      <c r="BT189" s="9" t="s">
        <v>2461</v>
      </c>
      <c r="BU189" s="9" t="s">
        <v>2429</v>
      </c>
      <c r="BV189" s="9"/>
      <c r="BW189" s="10"/>
      <c r="BX189" s="15" t="s">
        <v>2462</v>
      </c>
      <c r="BY189" s="10"/>
      <c r="BZ189" s="10"/>
      <c r="CA189" s="10"/>
      <c r="CC189" s="9" t="s">
        <v>308</v>
      </c>
      <c r="CD189" s="9" t="s">
        <v>309</v>
      </c>
    </row>
    <row r="190" spans="1:82">
      <c r="A190" s="8">
        <v>93086</v>
      </c>
      <c r="B190" s="9" t="s">
        <v>2463</v>
      </c>
      <c r="C190" s="9" t="s">
        <v>1257</v>
      </c>
      <c r="D190" s="10">
        <v>45614</v>
      </c>
      <c r="E190" s="9" t="s">
        <v>1972</v>
      </c>
      <c r="F190" s="9" t="s">
        <v>1973</v>
      </c>
      <c r="G190" s="9" t="s">
        <v>1974</v>
      </c>
      <c r="H190" s="9" t="s">
        <v>281</v>
      </c>
      <c r="I190" s="9" t="s">
        <v>282</v>
      </c>
      <c r="J190" s="9" t="s">
        <v>719</v>
      </c>
      <c r="K190" s="9" t="s">
        <v>284</v>
      </c>
      <c r="L190" s="9" t="s">
        <v>2464</v>
      </c>
      <c r="M190" s="9" t="s">
        <v>2465</v>
      </c>
      <c r="N190" s="8">
        <v>1</v>
      </c>
      <c r="O190" s="9" t="s">
        <v>2466</v>
      </c>
      <c r="P190" s="11">
        <v>224.28</v>
      </c>
      <c r="Q190" s="11">
        <v>220</v>
      </c>
      <c r="R190" s="11">
        <v>191.1</v>
      </c>
      <c r="S190" s="11">
        <v>1183</v>
      </c>
      <c r="T190" s="11">
        <v>265323.24</v>
      </c>
      <c r="U190" s="12">
        <v>5.3999999999999999E-2</v>
      </c>
      <c r="V190" s="12">
        <v>0.85299999999999998</v>
      </c>
      <c r="W190" s="11">
        <v>1146.4000000000001</v>
      </c>
      <c r="X190" s="9" t="s">
        <v>288</v>
      </c>
      <c r="Y190" s="10">
        <v>45058</v>
      </c>
      <c r="Z190" s="13">
        <v>0.1313</v>
      </c>
      <c r="AC190" s="9" t="s">
        <v>289</v>
      </c>
      <c r="AD190" s="9" t="s">
        <v>290</v>
      </c>
      <c r="AE190" s="8">
        <v>1007</v>
      </c>
      <c r="AF190" s="14">
        <v>44.233080000000001</v>
      </c>
      <c r="AG190" s="14">
        <v>0.68300000000000005</v>
      </c>
      <c r="AH190" s="9" t="s">
        <v>483</v>
      </c>
      <c r="AI190" s="15" t="s">
        <v>396</v>
      </c>
      <c r="AJ190" s="9" t="s">
        <v>293</v>
      </c>
      <c r="AK190" s="9" t="s">
        <v>1979</v>
      </c>
      <c r="AL190" s="9" t="s">
        <v>1980</v>
      </c>
      <c r="AM190" s="9"/>
      <c r="AN190" s="9" t="s">
        <v>2467</v>
      </c>
      <c r="AO190" s="9"/>
      <c r="AP190" s="9" t="s">
        <v>293</v>
      </c>
      <c r="AQ190" s="9" t="s">
        <v>293</v>
      </c>
      <c r="AR190" t="b">
        <v>0</v>
      </c>
      <c r="AS190" s="10"/>
      <c r="AT190" s="10" t="s">
        <v>299</v>
      </c>
      <c r="AU190" s="9"/>
      <c r="AV190" t="b">
        <v>0</v>
      </c>
      <c r="AW190" s="12"/>
      <c r="AX190" s="11"/>
      <c r="AY190" s="9"/>
      <c r="AZ190" t="b">
        <v>0</v>
      </c>
      <c r="BA190" s="9"/>
      <c r="BB190" s="12"/>
      <c r="BC190" s="11"/>
      <c r="BD190" s="9" t="s">
        <v>325</v>
      </c>
      <c r="BE190" s="9" t="s">
        <v>47</v>
      </c>
      <c r="BF190" s="9" t="s">
        <v>373</v>
      </c>
      <c r="BG190" s="9" t="s">
        <v>749</v>
      </c>
      <c r="BH190" s="9" t="s">
        <v>304</v>
      </c>
      <c r="BI190" s="9" t="s">
        <v>943</v>
      </c>
      <c r="BJ190" s="9" t="s">
        <v>944</v>
      </c>
      <c r="BK190" s="11">
        <v>856</v>
      </c>
      <c r="BL190" s="16">
        <v>147.41076000000001</v>
      </c>
      <c r="BM190" s="10">
        <v>45645</v>
      </c>
      <c r="BN190" s="10">
        <v>45758</v>
      </c>
      <c r="BO190" s="10"/>
      <c r="BP190" s="16"/>
      <c r="BQ190" s="16"/>
      <c r="BR190" s="9"/>
      <c r="BS190" s="9"/>
      <c r="BT190" s="9"/>
      <c r="BU190" s="9"/>
      <c r="BV190" s="9"/>
      <c r="BW190" s="10"/>
      <c r="BX190" s="15" t="s">
        <v>2468</v>
      </c>
      <c r="BY190" s="10"/>
      <c r="BZ190" s="10"/>
      <c r="CA190" s="10"/>
      <c r="CC190" s="9" t="s">
        <v>308</v>
      </c>
      <c r="CD190" s="9" t="s">
        <v>309</v>
      </c>
    </row>
    <row r="191" spans="1:82">
      <c r="A191" s="8">
        <v>94695</v>
      </c>
      <c r="B191" s="9" t="s">
        <v>2469</v>
      </c>
      <c r="C191" s="9" t="s">
        <v>1257</v>
      </c>
      <c r="D191" s="10">
        <v>45614</v>
      </c>
      <c r="E191" s="9" t="s">
        <v>2470</v>
      </c>
      <c r="F191" s="9" t="s">
        <v>2471</v>
      </c>
      <c r="G191" s="9" t="s">
        <v>2472</v>
      </c>
      <c r="H191" s="9" t="s">
        <v>315</v>
      </c>
      <c r="I191" s="9" t="s">
        <v>573</v>
      </c>
      <c r="J191" s="9" t="s">
        <v>547</v>
      </c>
      <c r="K191" s="9" t="s">
        <v>284</v>
      </c>
      <c r="L191" s="9" t="s">
        <v>2473</v>
      </c>
      <c r="M191" s="9" t="s">
        <v>2474</v>
      </c>
      <c r="N191" s="8">
        <v>2</v>
      </c>
      <c r="O191" s="9" t="s">
        <v>2475</v>
      </c>
      <c r="P191" s="11">
        <v>340.71</v>
      </c>
      <c r="Q191" s="11">
        <v>385</v>
      </c>
      <c r="R191" s="11">
        <v>326</v>
      </c>
      <c r="S191" s="11">
        <v>1361.48</v>
      </c>
      <c r="T191" s="11">
        <v>463869.85080000001</v>
      </c>
      <c r="U191" s="12">
        <v>5.2999999999999999E-2</v>
      </c>
      <c r="V191" s="12">
        <v>0.85099999999999998</v>
      </c>
      <c r="W191" s="11">
        <v>1349.1</v>
      </c>
      <c r="X191" s="9" t="s">
        <v>288</v>
      </c>
      <c r="Y191" s="10">
        <v>45022</v>
      </c>
      <c r="Z191" s="13">
        <v>0.13120000000000001</v>
      </c>
      <c r="AA191" t="b">
        <v>1</v>
      </c>
      <c r="AB191" t="b">
        <v>1</v>
      </c>
      <c r="AC191" s="9" t="s">
        <v>289</v>
      </c>
      <c r="AD191" s="9" t="s">
        <v>290</v>
      </c>
      <c r="AE191" s="8">
        <v>1622.7339999999999</v>
      </c>
      <c r="AF191" s="14">
        <v>44.045769999999997</v>
      </c>
      <c r="AG191" s="14">
        <v>5.9689500000000004</v>
      </c>
      <c r="AH191" s="9" t="s">
        <v>483</v>
      </c>
      <c r="AI191" s="15" t="s">
        <v>396</v>
      </c>
      <c r="AJ191" s="9" t="s">
        <v>293</v>
      </c>
      <c r="AK191" s="9" t="s">
        <v>2476</v>
      </c>
      <c r="AL191" s="9" t="s">
        <v>2477</v>
      </c>
      <c r="AM191" s="9"/>
      <c r="AN191" s="9" t="s">
        <v>2478</v>
      </c>
      <c r="AO191" s="9" t="s">
        <v>2479</v>
      </c>
      <c r="AP191" s="9" t="s">
        <v>689</v>
      </c>
      <c r="AQ191" s="9" t="s">
        <v>298</v>
      </c>
      <c r="AR191" t="b">
        <v>0</v>
      </c>
      <c r="AS191" s="10"/>
      <c r="AT191" s="10" t="s">
        <v>299</v>
      </c>
      <c r="AU191" s="9"/>
      <c r="AV191" t="b">
        <v>0</v>
      </c>
      <c r="AW191" s="12"/>
      <c r="AX191" s="11"/>
      <c r="AY191" s="9"/>
      <c r="AZ191" t="b">
        <v>0</v>
      </c>
      <c r="BA191" s="9"/>
      <c r="BB191" s="12"/>
      <c r="BC191" s="11"/>
      <c r="BD191" s="9" t="s">
        <v>300</v>
      </c>
      <c r="BE191" s="9" t="s">
        <v>47</v>
      </c>
      <c r="BF191" s="9" t="s">
        <v>690</v>
      </c>
      <c r="BG191" s="9" t="s">
        <v>967</v>
      </c>
      <c r="BH191" s="9" t="s">
        <v>304</v>
      </c>
      <c r="BI191" s="9" t="s">
        <v>1267</v>
      </c>
      <c r="BJ191" s="9" t="s">
        <v>1268</v>
      </c>
      <c r="BK191" s="11">
        <v>856</v>
      </c>
      <c r="BL191" s="16">
        <v>190.14057</v>
      </c>
      <c r="BM191" s="10">
        <v>45630</v>
      </c>
      <c r="BN191" s="10">
        <v>45793</v>
      </c>
      <c r="BO191" s="10"/>
      <c r="BP191" s="16"/>
      <c r="BQ191" s="16"/>
      <c r="BR191" s="9" t="s">
        <v>2480</v>
      </c>
      <c r="BS191" s="9" t="s">
        <v>2481</v>
      </c>
      <c r="BT191" s="9" t="s">
        <v>2472</v>
      </c>
      <c r="BU191" s="9" t="s">
        <v>2471</v>
      </c>
      <c r="BV191" s="9" t="s">
        <v>2482</v>
      </c>
      <c r="BW191" s="10"/>
      <c r="BX191" s="15" t="s">
        <v>2483</v>
      </c>
      <c r="BY191" s="10"/>
      <c r="BZ191" s="10"/>
      <c r="CA191" s="10"/>
      <c r="CC191" s="9" t="s">
        <v>308</v>
      </c>
      <c r="CD191" s="9" t="s">
        <v>309</v>
      </c>
    </row>
    <row r="192" spans="1:82">
      <c r="A192" s="8">
        <v>30489</v>
      </c>
      <c r="B192" s="9" t="s">
        <v>2484</v>
      </c>
      <c r="C192" s="9" t="s">
        <v>1204</v>
      </c>
      <c r="D192" s="10">
        <v>45611</v>
      </c>
      <c r="E192" s="9" t="s">
        <v>2485</v>
      </c>
      <c r="F192" s="9" t="s">
        <v>2486</v>
      </c>
      <c r="G192" s="9" t="s">
        <v>2487</v>
      </c>
      <c r="H192" s="9" t="s">
        <v>281</v>
      </c>
      <c r="I192" s="9" t="s">
        <v>282</v>
      </c>
      <c r="J192" s="9" t="s">
        <v>283</v>
      </c>
      <c r="K192" s="9" t="s">
        <v>284</v>
      </c>
      <c r="L192" s="9" t="s">
        <v>2488</v>
      </c>
      <c r="M192" s="9" t="s">
        <v>2489</v>
      </c>
      <c r="N192" s="8">
        <v>1</v>
      </c>
      <c r="O192" s="9" t="s">
        <v>2490</v>
      </c>
      <c r="P192" s="11">
        <v>222.5</v>
      </c>
      <c r="Q192" s="11">
        <v>220</v>
      </c>
      <c r="R192" s="11">
        <v>175.5</v>
      </c>
      <c r="S192" s="11">
        <v>1190</v>
      </c>
      <c r="T192" s="11">
        <v>264775</v>
      </c>
      <c r="U192" s="12">
        <v>5.3999999999999999E-2</v>
      </c>
      <c r="V192" s="12">
        <v>0.85699999999999998</v>
      </c>
      <c r="W192" s="11">
        <v>1156.5999999999999</v>
      </c>
      <c r="X192" s="9" t="s">
        <v>288</v>
      </c>
      <c r="Y192" s="10">
        <v>44984</v>
      </c>
      <c r="Z192" s="13">
        <v>0.13120000000000001</v>
      </c>
      <c r="AC192" s="9" t="s">
        <v>289</v>
      </c>
      <c r="AD192" s="9" t="s">
        <v>290</v>
      </c>
      <c r="AE192" s="8">
        <v>999.05399999999997</v>
      </c>
      <c r="AF192" s="14">
        <v>44.384259999999998</v>
      </c>
      <c r="AG192" s="14">
        <v>1.1673800000000001</v>
      </c>
      <c r="AH192" s="9" t="s">
        <v>483</v>
      </c>
      <c r="AI192" s="15" t="s">
        <v>1591</v>
      </c>
      <c r="AJ192" s="9" t="s">
        <v>293</v>
      </c>
      <c r="AK192" s="9" t="s">
        <v>2491</v>
      </c>
      <c r="AL192" s="9" t="s">
        <v>2492</v>
      </c>
      <c r="AM192" s="9"/>
      <c r="AN192" s="9" t="s">
        <v>2493</v>
      </c>
      <c r="AO192" s="9"/>
      <c r="AP192" s="9" t="s">
        <v>371</v>
      </c>
      <c r="AQ192" s="9" t="s">
        <v>372</v>
      </c>
      <c r="AR192" t="b">
        <v>0</v>
      </c>
      <c r="AS192" s="10"/>
      <c r="AT192" s="10" t="s">
        <v>299</v>
      </c>
      <c r="AU192" s="9"/>
      <c r="AV192" t="b">
        <v>0</v>
      </c>
      <c r="AW192" s="12"/>
      <c r="AX192" s="11"/>
      <c r="AY192" s="9"/>
      <c r="AZ192" t="b">
        <v>0</v>
      </c>
      <c r="BA192" s="9"/>
      <c r="BB192" s="12"/>
      <c r="BC192" s="11"/>
      <c r="BD192" s="9" t="s">
        <v>325</v>
      </c>
      <c r="BE192" s="9" t="s">
        <v>86</v>
      </c>
      <c r="BF192" s="9" t="s">
        <v>702</v>
      </c>
      <c r="BG192" s="9" t="s">
        <v>749</v>
      </c>
      <c r="BH192" s="9" t="s">
        <v>304</v>
      </c>
      <c r="BI192" s="9" t="s">
        <v>1213</v>
      </c>
      <c r="BJ192" s="9" t="s">
        <v>1214</v>
      </c>
      <c r="BK192" s="11">
        <v>856</v>
      </c>
      <c r="BL192" s="16">
        <v>146.75749999999999</v>
      </c>
      <c r="BM192" s="10">
        <v>45627</v>
      </c>
      <c r="BN192" s="10">
        <v>45748</v>
      </c>
      <c r="BO192" s="10"/>
      <c r="BP192" s="16"/>
      <c r="BQ192" s="16"/>
      <c r="BR192" s="9"/>
      <c r="BS192" s="9"/>
      <c r="BT192" s="9"/>
      <c r="BU192" s="9"/>
      <c r="BV192" s="9"/>
      <c r="BW192" s="10"/>
      <c r="BX192" s="15" t="s">
        <v>2494</v>
      </c>
      <c r="BY192" s="10"/>
      <c r="BZ192" s="10"/>
      <c r="CA192" s="10"/>
      <c r="CC192" s="9" t="s">
        <v>308</v>
      </c>
      <c r="CD192" s="9" t="s">
        <v>309</v>
      </c>
    </row>
    <row r="193" spans="1:82" ht="29.1">
      <c r="A193" s="8">
        <v>61439</v>
      </c>
      <c r="B193" s="9" t="s">
        <v>2495</v>
      </c>
      <c r="C193" s="9" t="s">
        <v>932</v>
      </c>
      <c r="D193" s="10">
        <v>45611</v>
      </c>
      <c r="E193" s="9" t="s">
        <v>2496</v>
      </c>
      <c r="F193" s="9" t="s">
        <v>2497</v>
      </c>
      <c r="G193" s="9" t="s">
        <v>2498</v>
      </c>
      <c r="H193" s="9" t="s">
        <v>281</v>
      </c>
      <c r="I193" s="9" t="s">
        <v>282</v>
      </c>
      <c r="J193" s="9" t="s">
        <v>283</v>
      </c>
      <c r="K193" s="9" t="s">
        <v>284</v>
      </c>
      <c r="L193" s="9" t="s">
        <v>2499</v>
      </c>
      <c r="M193" s="9" t="s">
        <v>2500</v>
      </c>
      <c r="N193" s="8">
        <v>1</v>
      </c>
      <c r="O193" s="9" t="s">
        <v>2501</v>
      </c>
      <c r="P193" s="11">
        <v>356.72</v>
      </c>
      <c r="Q193" s="11">
        <v>250</v>
      </c>
      <c r="R193" s="11">
        <v>250</v>
      </c>
      <c r="S193" s="11">
        <v>1126</v>
      </c>
      <c r="T193" s="11">
        <v>401666.72</v>
      </c>
      <c r="U193" s="12">
        <v>5.3999999999999999E-2</v>
      </c>
      <c r="V193" s="12">
        <v>0.86099999999999999</v>
      </c>
      <c r="W193" s="11">
        <v>1160.3</v>
      </c>
      <c r="X193" s="9" t="s">
        <v>288</v>
      </c>
      <c r="Y193" s="10">
        <v>45077</v>
      </c>
      <c r="Z193" s="13">
        <v>0.12740000000000001</v>
      </c>
      <c r="AC193" s="9" t="s">
        <v>289</v>
      </c>
      <c r="AD193" s="9" t="s">
        <v>290</v>
      </c>
      <c r="AE193" s="8">
        <v>1566.5170000000001</v>
      </c>
      <c r="AF193" s="14">
        <v>47.783259999999999</v>
      </c>
      <c r="AG193" s="14">
        <v>0.11915000000000001</v>
      </c>
      <c r="AH193" s="9" t="s">
        <v>483</v>
      </c>
      <c r="AI193" s="15" t="s">
        <v>2502</v>
      </c>
      <c r="AJ193" s="9" t="s">
        <v>293</v>
      </c>
      <c r="AK193" s="9" t="s">
        <v>2503</v>
      </c>
      <c r="AL193" s="9" t="s">
        <v>2504</v>
      </c>
      <c r="AM193" s="9"/>
      <c r="AN193" s="9" t="s">
        <v>2505</v>
      </c>
      <c r="AO193" s="9" t="s">
        <v>2506</v>
      </c>
      <c r="AP193" s="9" t="s">
        <v>113</v>
      </c>
      <c r="AQ193" s="9" t="s">
        <v>1212</v>
      </c>
      <c r="AR193" t="b">
        <v>0</v>
      </c>
      <c r="AS193" s="10"/>
      <c r="AT193" s="10" t="s">
        <v>299</v>
      </c>
      <c r="AU193" s="9"/>
      <c r="AV193" t="b">
        <v>0</v>
      </c>
      <c r="AW193" s="12"/>
      <c r="AX193" s="11"/>
      <c r="AY193" s="9"/>
      <c r="AZ193" t="b">
        <v>0</v>
      </c>
      <c r="BA193" s="9"/>
      <c r="BB193" s="12"/>
      <c r="BC193" s="11"/>
      <c r="BD193" s="9" t="s">
        <v>300</v>
      </c>
      <c r="BE193" s="9" t="s">
        <v>301</v>
      </c>
      <c r="BF193" s="9" t="s">
        <v>402</v>
      </c>
      <c r="BG193" s="9" t="s">
        <v>529</v>
      </c>
      <c r="BH193" s="9" t="s">
        <v>304</v>
      </c>
      <c r="BI193" s="9" t="s">
        <v>943</v>
      </c>
      <c r="BJ193" s="9" t="s">
        <v>944</v>
      </c>
      <c r="BK193" s="11">
        <v>856</v>
      </c>
      <c r="BL193" s="16">
        <v>196.01624000000001</v>
      </c>
      <c r="BM193" s="10">
        <v>45627</v>
      </c>
      <c r="BN193" s="10">
        <v>45786</v>
      </c>
      <c r="BO193" s="10"/>
      <c r="BP193" s="16"/>
      <c r="BQ193" s="16"/>
      <c r="BR193" s="9" t="s">
        <v>2507</v>
      </c>
      <c r="BS193" s="9" t="s">
        <v>2508</v>
      </c>
      <c r="BT193" s="9" t="s">
        <v>2509</v>
      </c>
      <c r="BU193" s="9" t="s">
        <v>2497</v>
      </c>
      <c r="BV193" s="9"/>
      <c r="BW193" s="10"/>
      <c r="BX193" s="15" t="s">
        <v>2510</v>
      </c>
      <c r="BY193" s="10">
        <v>45611</v>
      </c>
      <c r="BZ193" s="10">
        <v>52915</v>
      </c>
      <c r="CA193" s="10">
        <v>45887</v>
      </c>
      <c r="CC193" s="9" t="s">
        <v>308</v>
      </c>
      <c r="CD193" s="9" t="s">
        <v>309</v>
      </c>
    </row>
    <row r="194" spans="1:82">
      <c r="A194" s="8">
        <v>70087</v>
      </c>
      <c r="B194" s="9" t="s">
        <v>2511</v>
      </c>
      <c r="C194" s="9" t="s">
        <v>970</v>
      </c>
      <c r="D194" s="10">
        <v>45609</v>
      </c>
      <c r="E194" s="9" t="s">
        <v>2512</v>
      </c>
      <c r="F194" s="9" t="s">
        <v>2513</v>
      </c>
      <c r="G194" s="9" t="s">
        <v>2514</v>
      </c>
      <c r="H194" s="9" t="s">
        <v>281</v>
      </c>
      <c r="I194" s="9" t="s">
        <v>282</v>
      </c>
      <c r="J194" s="9" t="s">
        <v>283</v>
      </c>
      <c r="K194" s="9" t="s">
        <v>284</v>
      </c>
      <c r="L194" s="9" t="s">
        <v>2515</v>
      </c>
      <c r="M194" s="9" t="s">
        <v>2516</v>
      </c>
      <c r="N194" s="8">
        <v>1</v>
      </c>
      <c r="O194" s="9" t="s">
        <v>2517</v>
      </c>
      <c r="P194" s="11">
        <v>300.82</v>
      </c>
      <c r="Q194" s="11">
        <v>250</v>
      </c>
      <c r="R194" s="11">
        <v>249.9</v>
      </c>
      <c r="S194" s="11">
        <v>1086</v>
      </c>
      <c r="T194" s="11">
        <v>326690.52</v>
      </c>
      <c r="U194" s="12">
        <v>5.3999999999999999E-2</v>
      </c>
      <c r="V194" s="12">
        <v>0.86</v>
      </c>
      <c r="W194" s="11">
        <v>1252.4000000000001</v>
      </c>
      <c r="X194" s="9" t="s">
        <v>288</v>
      </c>
      <c r="Y194" s="10">
        <v>44985</v>
      </c>
      <c r="Z194" s="13">
        <v>0.13120000000000001</v>
      </c>
      <c r="AC194" s="9" t="s">
        <v>289</v>
      </c>
      <c r="AD194" s="9" t="s">
        <v>290</v>
      </c>
      <c r="AE194" s="8">
        <v>1350.72</v>
      </c>
      <c r="AF194" s="14">
        <v>44.757550000000002</v>
      </c>
      <c r="AG194" s="14">
        <v>2.0449600000000001</v>
      </c>
      <c r="AH194" s="9" t="s">
        <v>483</v>
      </c>
      <c r="AI194" s="15" t="s">
        <v>319</v>
      </c>
      <c r="AJ194" s="9" t="s">
        <v>293</v>
      </c>
      <c r="AK194" s="9" t="s">
        <v>2518</v>
      </c>
      <c r="AL194" s="9" t="s">
        <v>2519</v>
      </c>
      <c r="AM194" s="9"/>
      <c r="AN194" s="9" t="s">
        <v>2520</v>
      </c>
      <c r="AO194" s="9"/>
      <c r="AP194" s="9" t="s">
        <v>2521</v>
      </c>
      <c r="AQ194" s="9" t="s">
        <v>372</v>
      </c>
      <c r="AR194" t="b">
        <v>0</v>
      </c>
      <c r="AS194" s="10"/>
      <c r="AT194" s="10" t="s">
        <v>299</v>
      </c>
      <c r="AU194" s="9"/>
      <c r="AV194" t="b">
        <v>0</v>
      </c>
      <c r="AW194" s="12"/>
      <c r="AX194" s="11"/>
      <c r="AY194" s="9"/>
      <c r="AZ194" t="b">
        <v>0</v>
      </c>
      <c r="BA194" s="9"/>
      <c r="BB194" s="12"/>
      <c r="BC194" s="11"/>
      <c r="BD194" s="9" t="s">
        <v>325</v>
      </c>
      <c r="BE194" s="9" t="s">
        <v>301</v>
      </c>
      <c r="BF194" s="9" t="s">
        <v>302</v>
      </c>
      <c r="BG194" s="9" t="s">
        <v>749</v>
      </c>
      <c r="BH194" s="9" t="s">
        <v>304</v>
      </c>
      <c r="BI194" s="9" t="s">
        <v>981</v>
      </c>
      <c r="BJ194" s="9" t="s">
        <v>982</v>
      </c>
      <c r="BK194" s="11">
        <v>856</v>
      </c>
      <c r="BL194" s="16">
        <v>175.50094000000001</v>
      </c>
      <c r="BM194" s="10">
        <v>45640</v>
      </c>
      <c r="BN194" s="10">
        <v>45820</v>
      </c>
      <c r="BO194" s="10"/>
      <c r="BP194" s="16"/>
      <c r="BQ194" s="16"/>
      <c r="BR194" s="9" t="s">
        <v>2518</v>
      </c>
      <c r="BS194" s="9" t="s">
        <v>2522</v>
      </c>
      <c r="BT194" s="9" t="s">
        <v>2523</v>
      </c>
      <c r="BU194" s="9" t="s">
        <v>2513</v>
      </c>
      <c r="BV194" s="9"/>
      <c r="BW194" s="10"/>
      <c r="BX194" s="15" t="s">
        <v>2524</v>
      </c>
      <c r="BY194" s="10">
        <v>45719</v>
      </c>
      <c r="BZ194" s="10">
        <v>53023</v>
      </c>
      <c r="CA194" s="10">
        <v>45888</v>
      </c>
      <c r="CC194" s="9" t="s">
        <v>308</v>
      </c>
      <c r="CD194" s="9" t="s">
        <v>309</v>
      </c>
    </row>
    <row r="195" spans="1:82">
      <c r="A195" s="8">
        <v>28537</v>
      </c>
      <c r="B195" s="9" t="s">
        <v>2525</v>
      </c>
      <c r="C195" s="9" t="s">
        <v>1257</v>
      </c>
      <c r="D195" s="10">
        <v>45609</v>
      </c>
      <c r="E195" s="9" t="s">
        <v>2526</v>
      </c>
      <c r="F195" s="9" t="s">
        <v>2527</v>
      </c>
      <c r="G195" s="9" t="s">
        <v>2528</v>
      </c>
      <c r="H195" s="9" t="s">
        <v>281</v>
      </c>
      <c r="I195" s="9" t="s">
        <v>282</v>
      </c>
      <c r="J195" s="9" t="s">
        <v>283</v>
      </c>
      <c r="K195" s="9" t="s">
        <v>284</v>
      </c>
      <c r="L195" s="9" t="s">
        <v>2529</v>
      </c>
      <c r="M195" s="9" t="s">
        <v>2530</v>
      </c>
      <c r="N195" s="8">
        <v>1</v>
      </c>
      <c r="O195" s="9" t="s">
        <v>2531</v>
      </c>
      <c r="P195" s="11">
        <v>302.60000000000002</v>
      </c>
      <c r="Q195" s="11">
        <v>250</v>
      </c>
      <c r="R195" s="11">
        <v>249.9</v>
      </c>
      <c r="S195" s="11">
        <v>1206</v>
      </c>
      <c r="T195" s="11">
        <v>364935.6</v>
      </c>
      <c r="U195" s="12">
        <v>5.3999999999999999E-2</v>
      </c>
      <c r="V195" s="12">
        <v>0.86099999999999999</v>
      </c>
      <c r="W195" s="11">
        <v>1181.7</v>
      </c>
      <c r="X195" s="9" t="s">
        <v>288</v>
      </c>
      <c r="Y195" s="10">
        <v>45006</v>
      </c>
      <c r="Z195" s="13">
        <v>0.13120000000000001</v>
      </c>
      <c r="AC195" s="9" t="s">
        <v>289</v>
      </c>
      <c r="AD195" s="9" t="s">
        <v>290</v>
      </c>
      <c r="AE195" s="8">
        <v>1359</v>
      </c>
      <c r="AF195" s="14">
        <v>44.959569999999999</v>
      </c>
      <c r="AG195" s="14">
        <v>3.8531</v>
      </c>
      <c r="AH195" s="9" t="s">
        <v>483</v>
      </c>
      <c r="AI195" s="15" t="s">
        <v>319</v>
      </c>
      <c r="AJ195" s="9" t="s">
        <v>293</v>
      </c>
      <c r="AK195" s="9" t="s">
        <v>2532</v>
      </c>
      <c r="AL195" s="9" t="s">
        <v>2533</v>
      </c>
      <c r="AM195" s="9"/>
      <c r="AN195" s="9" t="s">
        <v>2534</v>
      </c>
      <c r="AO195" s="9"/>
      <c r="AP195" s="9" t="s">
        <v>139</v>
      </c>
      <c r="AQ195" s="9" t="s">
        <v>298</v>
      </c>
      <c r="AR195" t="b">
        <v>0</v>
      </c>
      <c r="AS195" s="10"/>
      <c r="AT195" s="10" t="s">
        <v>299</v>
      </c>
      <c r="AU195" s="9"/>
      <c r="AV195" t="b">
        <v>0</v>
      </c>
      <c r="AW195" s="12"/>
      <c r="AX195" s="11"/>
      <c r="AY195" s="9"/>
      <c r="AZ195" t="b">
        <v>0</v>
      </c>
      <c r="BA195" s="9"/>
      <c r="BB195" s="12"/>
      <c r="BC195" s="11"/>
      <c r="BD195" s="9" t="s">
        <v>325</v>
      </c>
      <c r="BE195" s="9" t="s">
        <v>47</v>
      </c>
      <c r="BF195" s="9" t="s">
        <v>702</v>
      </c>
      <c r="BG195" s="9" t="s">
        <v>738</v>
      </c>
      <c r="BH195" s="9" t="s">
        <v>304</v>
      </c>
      <c r="BI195" s="9" t="s">
        <v>1267</v>
      </c>
      <c r="BJ195" s="9" t="s">
        <v>1268</v>
      </c>
      <c r="BK195" s="11">
        <v>856</v>
      </c>
      <c r="BL195" s="16">
        <v>176.1542</v>
      </c>
      <c r="BM195" s="10">
        <v>45640</v>
      </c>
      <c r="BN195" s="10">
        <v>45735</v>
      </c>
      <c r="BO195" s="10"/>
      <c r="BP195" s="16"/>
      <c r="BQ195" s="16"/>
      <c r="BR195" s="9" t="s">
        <v>2532</v>
      </c>
      <c r="BS195" s="9" t="s">
        <v>2535</v>
      </c>
      <c r="BT195" s="9" t="s">
        <v>2536</v>
      </c>
      <c r="BU195" s="9" t="s">
        <v>2537</v>
      </c>
      <c r="BV195" s="9"/>
      <c r="BW195" s="10"/>
      <c r="BX195" s="15" t="s">
        <v>2538</v>
      </c>
      <c r="BY195" s="10"/>
      <c r="BZ195" s="10"/>
      <c r="CA195" s="10"/>
      <c r="CC195" s="9" t="s">
        <v>308</v>
      </c>
      <c r="CD195" s="9" t="s">
        <v>309</v>
      </c>
    </row>
    <row r="196" spans="1:82">
      <c r="A196" s="8">
        <v>31970</v>
      </c>
      <c r="B196" s="9" t="s">
        <v>2539</v>
      </c>
      <c r="C196" s="9" t="s">
        <v>932</v>
      </c>
      <c r="D196" s="10">
        <v>45608</v>
      </c>
      <c r="E196" s="9" t="s">
        <v>2540</v>
      </c>
      <c r="F196" s="9" t="s">
        <v>2541</v>
      </c>
      <c r="G196" s="9" t="s">
        <v>2542</v>
      </c>
      <c r="H196" s="9" t="s">
        <v>281</v>
      </c>
      <c r="I196" s="9" t="s">
        <v>282</v>
      </c>
      <c r="J196" s="9" t="s">
        <v>283</v>
      </c>
      <c r="K196" s="9" t="s">
        <v>284</v>
      </c>
      <c r="L196" s="9" t="s">
        <v>2543</v>
      </c>
      <c r="M196" s="9" t="s">
        <v>2544</v>
      </c>
      <c r="N196" s="8">
        <v>2</v>
      </c>
      <c r="O196" s="9" t="s">
        <v>2545</v>
      </c>
      <c r="P196" s="11">
        <v>499.73500000000001</v>
      </c>
      <c r="Q196" s="11">
        <v>440</v>
      </c>
      <c r="R196" s="11">
        <v>418</v>
      </c>
      <c r="S196" s="11">
        <v>1016.92</v>
      </c>
      <c r="T196" s="11">
        <v>508190.51620000001</v>
      </c>
      <c r="U196" s="12">
        <v>5.3999999999999999E-2</v>
      </c>
      <c r="V196" s="12">
        <v>0.86099999999999999</v>
      </c>
      <c r="W196" s="11">
        <v>1024.9000000000001</v>
      </c>
      <c r="X196" s="9" t="s">
        <v>288</v>
      </c>
      <c r="Y196" s="10">
        <v>44747</v>
      </c>
      <c r="Z196" s="13">
        <v>0.13120000000000001</v>
      </c>
      <c r="AA196" t="b">
        <v>1</v>
      </c>
      <c r="AC196" s="9" t="s">
        <v>289</v>
      </c>
      <c r="AD196" s="9" t="s">
        <v>290</v>
      </c>
      <c r="AE196" s="8">
        <v>2243.8752800000002</v>
      </c>
      <c r="AF196" s="14">
        <v>48.048000000000002</v>
      </c>
      <c r="AG196" s="14">
        <v>0.29847000000000001</v>
      </c>
      <c r="AH196" s="9" t="s">
        <v>483</v>
      </c>
      <c r="AI196" s="15" t="s">
        <v>396</v>
      </c>
      <c r="AJ196" s="9" t="s">
        <v>293</v>
      </c>
      <c r="AK196" s="9" t="s">
        <v>2546</v>
      </c>
      <c r="AL196" s="9" t="s">
        <v>2547</v>
      </c>
      <c r="AM196" s="9"/>
      <c r="AN196" s="9" t="s">
        <v>2548</v>
      </c>
      <c r="AO196" s="9"/>
      <c r="AP196" s="9" t="s">
        <v>43</v>
      </c>
      <c r="AQ196" s="9" t="s">
        <v>847</v>
      </c>
      <c r="AR196" t="b">
        <v>0</v>
      </c>
      <c r="AS196" s="10"/>
      <c r="AT196" s="10" t="s">
        <v>299</v>
      </c>
      <c r="AU196" s="9"/>
      <c r="AV196" t="b">
        <v>0</v>
      </c>
      <c r="AW196" s="12"/>
      <c r="AX196" s="11"/>
      <c r="AY196" s="9"/>
      <c r="AZ196" t="b">
        <v>0</v>
      </c>
      <c r="BA196" s="9"/>
      <c r="BB196" s="12"/>
      <c r="BC196" s="11"/>
      <c r="BD196" s="9" t="s">
        <v>300</v>
      </c>
      <c r="BE196" s="9" t="s">
        <v>301</v>
      </c>
      <c r="BF196" s="9" t="s">
        <v>402</v>
      </c>
      <c r="BG196" s="9" t="s">
        <v>529</v>
      </c>
      <c r="BH196" s="9" t="s">
        <v>304</v>
      </c>
      <c r="BI196" s="9" t="s">
        <v>943</v>
      </c>
      <c r="BJ196" s="9" t="s">
        <v>944</v>
      </c>
      <c r="BK196" s="11">
        <v>856</v>
      </c>
      <c r="BL196" s="16">
        <v>248.502745</v>
      </c>
      <c r="BM196" s="10">
        <v>45744</v>
      </c>
      <c r="BN196" s="10">
        <v>45770</v>
      </c>
      <c r="BO196" s="10"/>
      <c r="BP196" s="16"/>
      <c r="BQ196" s="16"/>
      <c r="BR196" s="9" t="s">
        <v>2549</v>
      </c>
      <c r="BS196" s="9" t="s">
        <v>2550</v>
      </c>
      <c r="BT196" s="9" t="s">
        <v>2551</v>
      </c>
      <c r="BU196" s="9" t="s">
        <v>2541</v>
      </c>
      <c r="BV196" s="9" t="s">
        <v>2552</v>
      </c>
      <c r="BW196" s="10"/>
      <c r="BX196" s="15" t="s">
        <v>2553</v>
      </c>
      <c r="BY196" s="10"/>
      <c r="BZ196" s="10"/>
      <c r="CA196" s="10"/>
      <c r="CC196" s="9" t="s">
        <v>308</v>
      </c>
      <c r="CD196" s="9" t="s">
        <v>309</v>
      </c>
    </row>
    <row r="197" spans="1:82">
      <c r="A197" s="8">
        <v>69508</v>
      </c>
      <c r="B197" s="9" t="s">
        <v>2554</v>
      </c>
      <c r="C197" s="9" t="s">
        <v>932</v>
      </c>
      <c r="D197" s="10">
        <v>45608</v>
      </c>
      <c r="E197" s="9" t="s">
        <v>2555</v>
      </c>
      <c r="F197" s="9" t="s">
        <v>2556</v>
      </c>
      <c r="G197" s="9" t="s">
        <v>2557</v>
      </c>
      <c r="H197" s="9" t="s">
        <v>281</v>
      </c>
      <c r="I197" s="9" t="s">
        <v>282</v>
      </c>
      <c r="J197" s="9" t="s">
        <v>283</v>
      </c>
      <c r="K197" s="9" t="s">
        <v>284</v>
      </c>
      <c r="L197" s="9" t="s">
        <v>2558</v>
      </c>
      <c r="M197" s="9" t="s">
        <v>2559</v>
      </c>
      <c r="N197" s="8">
        <v>1</v>
      </c>
      <c r="O197" s="9" t="s">
        <v>2560</v>
      </c>
      <c r="P197" s="11">
        <v>224.28</v>
      </c>
      <c r="Q197" s="11">
        <v>220</v>
      </c>
      <c r="R197" s="11">
        <v>176</v>
      </c>
      <c r="S197" s="11">
        <v>1133</v>
      </c>
      <c r="T197" s="11">
        <v>254109.24</v>
      </c>
      <c r="U197" s="12">
        <v>5.3999999999999999E-2</v>
      </c>
      <c r="V197" s="12">
        <v>0.85299999999999998</v>
      </c>
      <c r="W197" s="11">
        <v>1127.7</v>
      </c>
      <c r="X197" s="9" t="s">
        <v>288</v>
      </c>
      <c r="Y197" s="10">
        <v>45056</v>
      </c>
      <c r="Z197" s="13">
        <v>0.12740000000000001</v>
      </c>
      <c r="AC197" s="9" t="s">
        <v>1754</v>
      </c>
      <c r="AD197" s="9" t="s">
        <v>1755</v>
      </c>
      <c r="AE197" s="8">
        <v>1007.04643</v>
      </c>
      <c r="AF197" s="14">
        <v>46.528269999999999</v>
      </c>
      <c r="AG197" s="14">
        <v>-5.5710000000000003E-2</v>
      </c>
      <c r="AH197" s="9" t="s">
        <v>483</v>
      </c>
      <c r="AI197" s="15" t="s">
        <v>319</v>
      </c>
      <c r="AJ197" s="9" t="s">
        <v>293</v>
      </c>
      <c r="AK197" s="9" t="s">
        <v>2561</v>
      </c>
      <c r="AL197" s="9" t="s">
        <v>2562</v>
      </c>
      <c r="AM197" s="9"/>
      <c r="AN197" s="9" t="s">
        <v>2563</v>
      </c>
      <c r="AO197" s="9"/>
      <c r="AP197" s="9" t="s">
        <v>1212</v>
      </c>
      <c r="AQ197" s="9" t="s">
        <v>1212</v>
      </c>
      <c r="AR197" t="b">
        <v>0</v>
      </c>
      <c r="AS197" s="10"/>
      <c r="AT197" s="10" t="s">
        <v>299</v>
      </c>
      <c r="AU197" s="9"/>
      <c r="AV197" t="b">
        <v>0</v>
      </c>
      <c r="AW197" s="12"/>
      <c r="AX197" s="11"/>
      <c r="AY197" s="9"/>
      <c r="AZ197" t="b">
        <v>0</v>
      </c>
      <c r="BA197" s="9"/>
      <c r="BB197" s="12"/>
      <c r="BC197" s="11"/>
      <c r="BD197" s="9" t="s">
        <v>300</v>
      </c>
      <c r="BE197" s="9" t="s">
        <v>301</v>
      </c>
      <c r="BF197" s="9" t="s">
        <v>402</v>
      </c>
      <c r="BG197" s="9" t="s">
        <v>529</v>
      </c>
      <c r="BH197" s="9" t="s">
        <v>304</v>
      </c>
      <c r="BI197" s="9" t="s">
        <v>943</v>
      </c>
      <c r="BJ197" s="9" t="s">
        <v>944</v>
      </c>
      <c r="BK197" s="11">
        <v>856</v>
      </c>
      <c r="BL197" s="16">
        <v>147.41076000000001</v>
      </c>
      <c r="BM197" s="10">
        <v>45684</v>
      </c>
      <c r="BN197" s="10">
        <v>45765</v>
      </c>
      <c r="BO197" s="10"/>
      <c r="BP197" s="16"/>
      <c r="BQ197" s="16"/>
      <c r="BR197" s="9" t="s">
        <v>2564</v>
      </c>
      <c r="BS197" s="9" t="s">
        <v>2555</v>
      </c>
      <c r="BT197" s="9" t="s">
        <v>2557</v>
      </c>
      <c r="BU197" s="9" t="s">
        <v>2556</v>
      </c>
      <c r="BV197" s="9" t="s">
        <v>2565</v>
      </c>
      <c r="BW197" s="10"/>
      <c r="BX197" s="15" t="s">
        <v>2566</v>
      </c>
      <c r="BY197" s="10">
        <v>45608</v>
      </c>
      <c r="BZ197" s="10">
        <v>52913</v>
      </c>
      <c r="CA197" s="10">
        <v>45741</v>
      </c>
      <c r="CC197" s="9" t="s">
        <v>308</v>
      </c>
      <c r="CD197" s="9" t="s">
        <v>309</v>
      </c>
    </row>
    <row r="198" spans="1:82">
      <c r="A198" s="8">
        <v>29349</v>
      </c>
      <c r="B198" s="9" t="s">
        <v>2567</v>
      </c>
      <c r="C198" s="9" t="s">
        <v>1204</v>
      </c>
      <c r="D198" s="10">
        <v>45604</v>
      </c>
      <c r="E198" s="9" t="s">
        <v>2568</v>
      </c>
      <c r="F198" s="9" t="s">
        <v>2569</v>
      </c>
      <c r="G198" s="9" t="s">
        <v>2570</v>
      </c>
      <c r="H198" s="9" t="s">
        <v>2338</v>
      </c>
      <c r="I198" s="9" t="s">
        <v>282</v>
      </c>
      <c r="J198" s="9" t="s">
        <v>719</v>
      </c>
      <c r="K198" s="9" t="s">
        <v>284</v>
      </c>
      <c r="L198" s="9" t="s">
        <v>2571</v>
      </c>
      <c r="M198" s="9" t="s">
        <v>2572</v>
      </c>
      <c r="N198" s="8">
        <v>1</v>
      </c>
      <c r="O198" s="9" t="s">
        <v>2573</v>
      </c>
      <c r="P198" s="11">
        <v>204.7</v>
      </c>
      <c r="Q198" s="11">
        <v>165</v>
      </c>
      <c r="R198" s="11">
        <v>162</v>
      </c>
      <c r="S198" s="11">
        <v>1154.67</v>
      </c>
      <c r="T198" s="11">
        <v>236360.94899999999</v>
      </c>
      <c r="U198" s="12">
        <v>5.3999999999999999E-2</v>
      </c>
      <c r="V198" s="12">
        <v>0.85199999999999998</v>
      </c>
      <c r="W198" s="11">
        <v>1159.3</v>
      </c>
      <c r="X198" s="9" t="s">
        <v>288</v>
      </c>
      <c r="Y198" s="10">
        <v>44939</v>
      </c>
      <c r="Z198" s="13">
        <v>0.13120000000000001</v>
      </c>
      <c r="AC198" s="9" t="s">
        <v>289</v>
      </c>
      <c r="AD198" s="9" t="s">
        <v>290</v>
      </c>
      <c r="AE198" s="8">
        <v>919</v>
      </c>
      <c r="AF198" s="14">
        <v>44.282179999999997</v>
      </c>
      <c r="AG198" s="14">
        <v>1.3918699999999999</v>
      </c>
      <c r="AH198" s="9" t="s">
        <v>483</v>
      </c>
      <c r="AI198" s="15" t="s">
        <v>319</v>
      </c>
      <c r="AJ198" s="9" t="s">
        <v>293</v>
      </c>
      <c r="AK198" s="9" t="s">
        <v>2574</v>
      </c>
      <c r="AL198" s="9" t="s">
        <v>2575</v>
      </c>
      <c r="AM198" s="9"/>
      <c r="AN198" s="9" t="s">
        <v>2576</v>
      </c>
      <c r="AO198" s="9"/>
      <c r="AP198" s="9" t="s">
        <v>371</v>
      </c>
      <c r="AQ198" s="9" t="s">
        <v>298</v>
      </c>
      <c r="AR198" t="b">
        <v>0</v>
      </c>
      <c r="AS198" s="10"/>
      <c r="AT198" s="10" t="s">
        <v>299</v>
      </c>
      <c r="AU198" s="9"/>
      <c r="AV198" t="b">
        <v>0</v>
      </c>
      <c r="AW198" s="12"/>
      <c r="AX198" s="11"/>
      <c r="AY198" s="9"/>
      <c r="AZ198" t="b">
        <v>0</v>
      </c>
      <c r="BA198" s="9"/>
      <c r="BB198" s="12"/>
      <c r="BC198" s="11"/>
      <c r="BD198" s="9" t="s">
        <v>325</v>
      </c>
      <c r="BE198" s="9" t="s">
        <v>86</v>
      </c>
      <c r="BF198" s="9" t="s">
        <v>702</v>
      </c>
      <c r="BG198" s="9" t="s">
        <v>749</v>
      </c>
      <c r="BH198" s="9" t="s">
        <v>304</v>
      </c>
      <c r="BI198" s="9" t="s">
        <v>1213</v>
      </c>
      <c r="BJ198" s="9" t="s">
        <v>1214</v>
      </c>
      <c r="BK198" s="11">
        <v>856</v>
      </c>
      <c r="BL198" s="16">
        <v>140.22489999999999</v>
      </c>
      <c r="BM198" s="10">
        <v>45665</v>
      </c>
      <c r="BN198" s="10">
        <v>45716</v>
      </c>
      <c r="BO198" s="10"/>
      <c r="BP198" s="16"/>
      <c r="BQ198" s="16"/>
      <c r="BR198" s="9" t="s">
        <v>2577</v>
      </c>
      <c r="BS198" s="9" t="s">
        <v>2578</v>
      </c>
      <c r="BT198" s="9" t="s">
        <v>2570</v>
      </c>
      <c r="BU198" s="9" t="s">
        <v>2569</v>
      </c>
      <c r="BV198" s="9"/>
      <c r="BW198" s="10"/>
      <c r="BX198" s="15" t="s">
        <v>1551</v>
      </c>
      <c r="BY198" s="10">
        <v>45604</v>
      </c>
      <c r="BZ198" s="10">
        <v>52908</v>
      </c>
      <c r="CA198" s="10">
        <v>45909</v>
      </c>
      <c r="CC198" s="9" t="s">
        <v>308</v>
      </c>
      <c r="CD198" s="9" t="s">
        <v>309</v>
      </c>
    </row>
    <row r="199" spans="1:82">
      <c r="A199" s="8">
        <v>95952</v>
      </c>
      <c r="B199" s="9" t="s">
        <v>2579</v>
      </c>
      <c r="C199" s="9" t="s">
        <v>932</v>
      </c>
      <c r="D199" s="10">
        <v>45603</v>
      </c>
      <c r="E199" s="9" t="s">
        <v>2580</v>
      </c>
      <c r="F199" s="9" t="s">
        <v>2581</v>
      </c>
      <c r="G199" s="9" t="s">
        <v>2582</v>
      </c>
      <c r="H199" s="9" t="s">
        <v>315</v>
      </c>
      <c r="I199" s="9" t="s">
        <v>573</v>
      </c>
      <c r="J199" s="9" t="s">
        <v>547</v>
      </c>
      <c r="K199" s="9" t="s">
        <v>284</v>
      </c>
      <c r="L199" s="9" t="s">
        <v>2583</v>
      </c>
      <c r="M199" s="9" t="s">
        <v>2584</v>
      </c>
      <c r="N199" s="8">
        <v>1</v>
      </c>
      <c r="O199" s="9" t="s">
        <v>2585</v>
      </c>
      <c r="P199" s="11">
        <v>110.5</v>
      </c>
      <c r="Q199" s="11">
        <v>110</v>
      </c>
      <c r="R199" s="11">
        <v>106</v>
      </c>
      <c r="S199" s="11">
        <v>1360</v>
      </c>
      <c r="T199" s="11">
        <v>150280</v>
      </c>
      <c r="U199" s="12">
        <v>5.3999999999999999E-2</v>
      </c>
      <c r="V199" s="12">
        <v>0.84799999999999998</v>
      </c>
      <c r="W199" s="11">
        <v>1375.5</v>
      </c>
      <c r="X199" s="9" t="s">
        <v>288</v>
      </c>
      <c r="Y199" s="10">
        <v>44977</v>
      </c>
      <c r="Z199" s="13">
        <v>0.13120000000000001</v>
      </c>
      <c r="AC199" s="9" t="s">
        <v>289</v>
      </c>
      <c r="AD199" s="9" t="s">
        <v>290</v>
      </c>
      <c r="AE199" s="8">
        <v>524.62800000000004</v>
      </c>
      <c r="AF199" s="14">
        <v>43.745289999999997</v>
      </c>
      <c r="AG199" s="14">
        <v>4.2046799999999998</v>
      </c>
      <c r="AH199" s="9" t="s">
        <v>483</v>
      </c>
      <c r="AI199" s="15" t="s">
        <v>319</v>
      </c>
      <c r="AJ199" s="9" t="s">
        <v>293</v>
      </c>
      <c r="AK199" s="9" t="s">
        <v>2586</v>
      </c>
      <c r="AL199" s="9" t="s">
        <v>2587</v>
      </c>
      <c r="AM199" s="9" t="s">
        <v>2588</v>
      </c>
      <c r="AN199" s="9" t="s">
        <v>2589</v>
      </c>
      <c r="AO199" s="9"/>
      <c r="AP199" s="9" t="s">
        <v>108</v>
      </c>
      <c r="AQ199" s="9" t="s">
        <v>1053</v>
      </c>
      <c r="AR199" t="b">
        <v>0</v>
      </c>
      <c r="AS199" s="10">
        <v>45657</v>
      </c>
      <c r="AT199" s="10">
        <v>46022</v>
      </c>
      <c r="AU199" s="9" t="s">
        <v>612</v>
      </c>
      <c r="AV199" t="b">
        <v>1</v>
      </c>
      <c r="AW199" s="12"/>
      <c r="AX199" s="11">
        <v>75000</v>
      </c>
      <c r="AY199" s="9"/>
      <c r="AZ199" t="b">
        <v>0</v>
      </c>
      <c r="BA199" s="9"/>
      <c r="BB199" s="12"/>
      <c r="BC199" s="11"/>
      <c r="BD199" s="9" t="s">
        <v>300</v>
      </c>
      <c r="BE199" s="9" t="s">
        <v>301</v>
      </c>
      <c r="BF199" s="9" t="s">
        <v>302</v>
      </c>
      <c r="BG199" s="9" t="s">
        <v>967</v>
      </c>
      <c r="BH199" s="9" t="s">
        <v>304</v>
      </c>
      <c r="BI199" s="9" t="s">
        <v>943</v>
      </c>
      <c r="BJ199" s="9" t="s">
        <v>944</v>
      </c>
      <c r="BK199" s="11">
        <v>856</v>
      </c>
      <c r="BL199" s="16">
        <v>105.65349999999999</v>
      </c>
      <c r="BM199" s="10">
        <v>45754</v>
      </c>
      <c r="BN199" s="10">
        <v>45770</v>
      </c>
      <c r="BO199" s="10"/>
      <c r="BP199" s="16"/>
      <c r="BQ199" s="16"/>
      <c r="BR199" s="9" t="s">
        <v>2590</v>
      </c>
      <c r="BS199" s="9" t="s">
        <v>2591</v>
      </c>
      <c r="BT199" s="9" t="s">
        <v>2592</v>
      </c>
      <c r="BU199" s="9" t="s">
        <v>2593</v>
      </c>
      <c r="BV199" s="9"/>
      <c r="BW199" s="10"/>
      <c r="BX199" s="15" t="s">
        <v>2594</v>
      </c>
      <c r="BY199" s="10"/>
      <c r="BZ199" s="10"/>
      <c r="CA199" s="10"/>
      <c r="CC199" s="9" t="s">
        <v>308</v>
      </c>
      <c r="CD199" s="9" t="s">
        <v>309</v>
      </c>
    </row>
    <row r="200" spans="1:82" ht="43.5">
      <c r="A200" s="8">
        <v>28500</v>
      </c>
      <c r="B200" s="9" t="s">
        <v>2595</v>
      </c>
      <c r="C200" s="9" t="s">
        <v>1257</v>
      </c>
      <c r="D200" s="10">
        <v>45596</v>
      </c>
      <c r="E200" s="9" t="s">
        <v>2596</v>
      </c>
      <c r="F200" s="9" t="s">
        <v>2597</v>
      </c>
      <c r="G200" s="9" t="s">
        <v>2598</v>
      </c>
      <c r="H200" s="9" t="s">
        <v>281</v>
      </c>
      <c r="I200" s="9" t="s">
        <v>282</v>
      </c>
      <c r="J200" s="9" t="s">
        <v>547</v>
      </c>
      <c r="K200" s="9" t="s">
        <v>284</v>
      </c>
      <c r="L200" s="9" t="s">
        <v>2599</v>
      </c>
      <c r="M200" s="9" t="s">
        <v>2600</v>
      </c>
      <c r="N200" s="8">
        <v>1</v>
      </c>
      <c r="O200" s="9" t="s">
        <v>2601</v>
      </c>
      <c r="P200" s="11">
        <v>167.7</v>
      </c>
      <c r="Q200" s="11">
        <v>165</v>
      </c>
      <c r="R200" s="11">
        <v>145.80000000000001</v>
      </c>
      <c r="S200" s="11">
        <v>1300</v>
      </c>
      <c r="T200" s="11">
        <v>218010</v>
      </c>
      <c r="U200" s="12">
        <v>5.3999999999999999E-2</v>
      </c>
      <c r="V200" s="12">
        <v>0.85599999999999998</v>
      </c>
      <c r="W200" s="11">
        <v>1271.0999999999999</v>
      </c>
      <c r="X200" s="9" t="s">
        <v>288</v>
      </c>
      <c r="Y200" s="10">
        <v>44978</v>
      </c>
      <c r="Z200" s="13">
        <v>0.13120000000000001</v>
      </c>
      <c r="AC200" s="9" t="s">
        <v>289</v>
      </c>
      <c r="AD200" s="9" t="s">
        <v>290</v>
      </c>
      <c r="AE200" s="8">
        <v>786.94200000000001</v>
      </c>
      <c r="AF200" s="14">
        <v>45.371589999999998</v>
      </c>
      <c r="AG200" s="14">
        <v>5.5204700000000004</v>
      </c>
      <c r="AH200" s="9" t="s">
        <v>483</v>
      </c>
      <c r="AI200" s="15" t="s">
        <v>396</v>
      </c>
      <c r="AJ200" s="9" t="s">
        <v>293</v>
      </c>
      <c r="AK200" s="9" t="s">
        <v>2602</v>
      </c>
      <c r="AL200" s="9" t="s">
        <v>2603</v>
      </c>
      <c r="AM200" s="9"/>
      <c r="AN200" s="9" t="s">
        <v>2604</v>
      </c>
      <c r="AO200" s="9"/>
      <c r="AP200" s="9" t="s">
        <v>43</v>
      </c>
      <c r="AQ200" s="9" t="s">
        <v>847</v>
      </c>
      <c r="AR200" t="b">
        <v>0</v>
      </c>
      <c r="AS200" s="10"/>
      <c r="AT200" s="10" t="s">
        <v>299</v>
      </c>
      <c r="AU200" s="9"/>
      <c r="AV200" t="b">
        <v>0</v>
      </c>
      <c r="AW200" s="12"/>
      <c r="AX200" s="11"/>
      <c r="AY200" s="9"/>
      <c r="AZ200" t="b">
        <v>0</v>
      </c>
      <c r="BA200" s="9"/>
      <c r="BB200" s="12"/>
      <c r="BC200" s="11"/>
      <c r="BD200" s="9" t="s">
        <v>300</v>
      </c>
      <c r="BE200" s="9" t="s">
        <v>47</v>
      </c>
      <c r="BF200" s="9" t="s">
        <v>690</v>
      </c>
      <c r="BG200" s="9" t="s">
        <v>303</v>
      </c>
      <c r="BH200" s="9" t="s">
        <v>304</v>
      </c>
      <c r="BI200" s="9" t="s">
        <v>1267</v>
      </c>
      <c r="BJ200" s="9" t="s">
        <v>1268</v>
      </c>
      <c r="BK200" s="11">
        <v>856</v>
      </c>
      <c r="BL200" s="16">
        <v>126.6459</v>
      </c>
      <c r="BM200" s="10">
        <v>45687</v>
      </c>
      <c r="BN200" s="10">
        <v>45727</v>
      </c>
      <c r="BO200" s="10"/>
      <c r="BP200" s="16"/>
      <c r="BQ200" s="16"/>
      <c r="BR200" s="9"/>
      <c r="BS200" s="9"/>
      <c r="BT200" s="9"/>
      <c r="BU200" s="9"/>
      <c r="BV200" s="9"/>
      <c r="BW200" s="10"/>
      <c r="BX200" s="15" t="s">
        <v>2605</v>
      </c>
      <c r="BY200" s="10"/>
      <c r="BZ200" s="10"/>
      <c r="CA200" s="10"/>
      <c r="CC200" s="9" t="s">
        <v>308</v>
      </c>
      <c r="CD200" s="9" t="s">
        <v>309</v>
      </c>
    </row>
    <row r="201" spans="1:82">
      <c r="A201" s="8">
        <v>27263</v>
      </c>
      <c r="B201" s="9" t="s">
        <v>2606</v>
      </c>
      <c r="C201" s="9" t="s">
        <v>1257</v>
      </c>
      <c r="D201" s="10">
        <v>45595</v>
      </c>
      <c r="E201" s="9" t="s">
        <v>2607</v>
      </c>
      <c r="F201" s="9" t="s">
        <v>2608</v>
      </c>
      <c r="G201" s="9" t="s">
        <v>2609</v>
      </c>
      <c r="H201" s="9" t="s">
        <v>281</v>
      </c>
      <c r="I201" s="9" t="s">
        <v>282</v>
      </c>
      <c r="J201" s="9" t="s">
        <v>283</v>
      </c>
      <c r="K201" s="9" t="s">
        <v>284</v>
      </c>
      <c r="L201" s="9" t="s">
        <v>2610</v>
      </c>
      <c r="M201" s="9" t="s">
        <v>2611</v>
      </c>
      <c r="N201" s="8">
        <v>1</v>
      </c>
      <c r="O201" s="9" t="s">
        <v>2612</v>
      </c>
      <c r="P201" s="11">
        <v>164.69</v>
      </c>
      <c r="Q201" s="11">
        <v>165</v>
      </c>
      <c r="R201" s="11">
        <v>138.4</v>
      </c>
      <c r="S201" s="11">
        <v>1269</v>
      </c>
      <c r="T201" s="11">
        <v>208991.61</v>
      </c>
      <c r="U201" s="12">
        <v>5.3999999999999999E-2</v>
      </c>
      <c r="V201" s="12">
        <v>0.85399999999999998</v>
      </c>
      <c r="W201" s="11">
        <v>1231.8</v>
      </c>
      <c r="X201" s="9" t="s">
        <v>288</v>
      </c>
      <c r="Y201" s="10">
        <v>44887</v>
      </c>
      <c r="Z201" s="13">
        <v>0.13109999999999999</v>
      </c>
      <c r="AA201" t="b">
        <v>1</v>
      </c>
      <c r="AC201" s="9" t="s">
        <v>289</v>
      </c>
      <c r="AD201" s="9" t="s">
        <v>290</v>
      </c>
      <c r="AE201" s="8">
        <v>772.81740000000002</v>
      </c>
      <c r="AF201" s="14">
        <v>44.908090000000001</v>
      </c>
      <c r="AG201" s="14">
        <v>0.25374999999999998</v>
      </c>
      <c r="AH201" s="9" t="s">
        <v>483</v>
      </c>
      <c r="AI201" s="15" t="s">
        <v>319</v>
      </c>
      <c r="AJ201" s="9" t="s">
        <v>293</v>
      </c>
      <c r="AK201" s="9" t="s">
        <v>2613</v>
      </c>
      <c r="AL201" s="9" t="s">
        <v>2614</v>
      </c>
      <c r="AM201" s="9"/>
      <c r="AN201" s="9" t="s">
        <v>2615</v>
      </c>
      <c r="AO201" s="9"/>
      <c r="AP201" s="9" t="s">
        <v>43</v>
      </c>
      <c r="AQ201" s="9" t="s">
        <v>847</v>
      </c>
      <c r="AR201" t="b">
        <v>0</v>
      </c>
      <c r="AS201" s="10"/>
      <c r="AT201" s="10" t="s">
        <v>299</v>
      </c>
      <c r="AU201" s="9"/>
      <c r="AV201" t="b">
        <v>0</v>
      </c>
      <c r="AW201" s="12"/>
      <c r="AX201" s="11"/>
      <c r="AY201" s="9"/>
      <c r="AZ201" t="b">
        <v>0</v>
      </c>
      <c r="BA201" s="9"/>
      <c r="BB201" s="12"/>
      <c r="BC201" s="11"/>
      <c r="BD201" s="9" t="s">
        <v>325</v>
      </c>
      <c r="BE201" s="9" t="s">
        <v>47</v>
      </c>
      <c r="BF201" s="9" t="s">
        <v>302</v>
      </c>
      <c r="BG201" s="9" t="s">
        <v>749</v>
      </c>
      <c r="BH201" s="9" t="s">
        <v>304</v>
      </c>
      <c r="BI201" s="9" t="s">
        <v>1267</v>
      </c>
      <c r="BJ201" s="9" t="s">
        <v>1268</v>
      </c>
      <c r="BK201" s="11">
        <v>856</v>
      </c>
      <c r="BL201" s="16">
        <v>125.54123</v>
      </c>
      <c r="BM201" s="10">
        <v>45521</v>
      </c>
      <c r="BN201" s="10">
        <v>45777</v>
      </c>
      <c r="BO201" s="10"/>
      <c r="BP201" s="16"/>
      <c r="BQ201" s="16"/>
      <c r="BR201" s="9"/>
      <c r="BS201" s="9"/>
      <c r="BT201" s="9"/>
      <c r="BU201" s="9"/>
      <c r="BV201" s="9"/>
      <c r="BW201" s="10"/>
      <c r="BX201" s="15" t="s">
        <v>2616</v>
      </c>
      <c r="BY201" s="10"/>
      <c r="BZ201" s="10"/>
      <c r="CA201" s="10"/>
      <c r="CC201" s="9" t="s">
        <v>308</v>
      </c>
      <c r="CD201" s="9" t="s">
        <v>309</v>
      </c>
    </row>
    <row r="202" spans="1:82">
      <c r="A202" s="8">
        <v>31112</v>
      </c>
      <c r="B202" s="9" t="s">
        <v>2617</v>
      </c>
      <c r="C202" s="9" t="s">
        <v>1204</v>
      </c>
      <c r="D202" s="10">
        <v>45594</v>
      </c>
      <c r="E202" s="9" t="s">
        <v>2618</v>
      </c>
      <c r="F202" s="9" t="s">
        <v>2619</v>
      </c>
      <c r="G202" s="9" t="s">
        <v>2620</v>
      </c>
      <c r="H202" s="9" t="s">
        <v>281</v>
      </c>
      <c r="I202" s="9" t="s">
        <v>282</v>
      </c>
      <c r="J202" s="9" t="s">
        <v>283</v>
      </c>
      <c r="K202" s="9" t="s">
        <v>284</v>
      </c>
      <c r="L202" s="9" t="s">
        <v>2621</v>
      </c>
      <c r="M202" s="9" t="s">
        <v>2622</v>
      </c>
      <c r="N202" s="8">
        <v>1</v>
      </c>
      <c r="O202" s="9" t="s">
        <v>2623</v>
      </c>
      <c r="P202" s="11">
        <v>249.2</v>
      </c>
      <c r="Q202" s="11">
        <v>220</v>
      </c>
      <c r="R202" s="11">
        <v>202</v>
      </c>
      <c r="S202" s="11">
        <v>1139</v>
      </c>
      <c r="T202" s="11">
        <v>283838.8</v>
      </c>
      <c r="U202" s="12">
        <v>5.3999999999999999E-2</v>
      </c>
      <c r="V202" s="12">
        <v>0.85299999999999998</v>
      </c>
      <c r="W202" s="11">
        <v>1214.7</v>
      </c>
      <c r="X202" s="9" t="s">
        <v>288</v>
      </c>
      <c r="Y202" s="10">
        <v>44979</v>
      </c>
      <c r="Z202" s="13">
        <v>0.13120000000000001</v>
      </c>
      <c r="AC202" s="9" t="s">
        <v>289</v>
      </c>
      <c r="AD202" s="9" t="s">
        <v>290</v>
      </c>
      <c r="AE202" s="8">
        <v>1118.94048</v>
      </c>
      <c r="AF202" s="14">
        <v>45.117519999999999</v>
      </c>
      <c r="AG202" s="14">
        <v>-8.1399999999999997E-3</v>
      </c>
      <c r="AH202" s="9" t="s">
        <v>483</v>
      </c>
      <c r="AI202" s="15" t="s">
        <v>319</v>
      </c>
      <c r="AJ202" s="9" t="s">
        <v>293</v>
      </c>
      <c r="AK202" s="9" t="s">
        <v>2624</v>
      </c>
      <c r="AL202" s="9" t="s">
        <v>2625</v>
      </c>
      <c r="AM202" s="9"/>
      <c r="AN202" s="9" t="s">
        <v>2626</v>
      </c>
      <c r="AO202" s="9"/>
      <c r="AP202" s="9" t="s">
        <v>371</v>
      </c>
      <c r="AQ202" s="9" t="s">
        <v>298</v>
      </c>
      <c r="AR202" t="b">
        <v>0</v>
      </c>
      <c r="AS202" s="10"/>
      <c r="AT202" s="10" t="s">
        <v>299</v>
      </c>
      <c r="AU202" s="9"/>
      <c r="AV202" t="b">
        <v>0</v>
      </c>
      <c r="AW202" s="12"/>
      <c r="AX202" s="11"/>
      <c r="AY202" s="9"/>
      <c r="AZ202" t="b">
        <v>0</v>
      </c>
      <c r="BA202" s="9"/>
      <c r="BB202" s="12"/>
      <c r="BC202" s="11"/>
      <c r="BD202" s="9" t="s">
        <v>325</v>
      </c>
      <c r="BE202" s="9" t="s">
        <v>86</v>
      </c>
      <c r="BF202" s="9" t="s">
        <v>302</v>
      </c>
      <c r="BG202" s="9" t="s">
        <v>749</v>
      </c>
      <c r="BH202" s="9" t="s">
        <v>304</v>
      </c>
      <c r="BI202" s="9" t="s">
        <v>1213</v>
      </c>
      <c r="BJ202" s="9" t="s">
        <v>1214</v>
      </c>
      <c r="BK202" s="11">
        <v>856</v>
      </c>
      <c r="BL202" s="16">
        <v>156.5564</v>
      </c>
      <c r="BM202" s="10">
        <v>45640</v>
      </c>
      <c r="BN202" s="10">
        <v>45777</v>
      </c>
      <c r="BO202" s="10"/>
      <c r="BP202" s="16"/>
      <c r="BQ202" s="16"/>
      <c r="BR202" s="9"/>
      <c r="BS202" s="9"/>
      <c r="BT202" s="9"/>
      <c r="BU202" s="9"/>
      <c r="BV202" s="9"/>
      <c r="BW202" s="10"/>
      <c r="BX202" s="15" t="s">
        <v>2407</v>
      </c>
      <c r="BY202" s="10"/>
      <c r="BZ202" s="10"/>
      <c r="CA202" s="10"/>
      <c r="CC202" s="9" t="s">
        <v>308</v>
      </c>
      <c r="CD202" s="9" t="s">
        <v>309</v>
      </c>
    </row>
    <row r="203" spans="1:82">
      <c r="A203" s="8">
        <v>13253</v>
      </c>
      <c r="B203" s="9" t="s">
        <v>2627</v>
      </c>
      <c r="C203" s="9" t="s">
        <v>970</v>
      </c>
      <c r="D203" s="10">
        <v>45594</v>
      </c>
      <c r="E203" s="9" t="s">
        <v>2628</v>
      </c>
      <c r="F203" s="9" t="s">
        <v>2629</v>
      </c>
      <c r="G203" s="9" t="s">
        <v>2630</v>
      </c>
      <c r="H203" s="9" t="s">
        <v>2338</v>
      </c>
      <c r="I203" s="9" t="s">
        <v>282</v>
      </c>
      <c r="J203" s="9" t="s">
        <v>719</v>
      </c>
      <c r="K203" s="9" t="s">
        <v>284</v>
      </c>
      <c r="L203" s="9" t="s">
        <v>2631</v>
      </c>
      <c r="M203" s="9" t="s">
        <v>2632</v>
      </c>
      <c r="N203" s="8">
        <v>1</v>
      </c>
      <c r="O203" s="9" t="s">
        <v>2633</v>
      </c>
      <c r="P203" s="11">
        <v>253.65</v>
      </c>
      <c r="Q203" s="11">
        <v>220</v>
      </c>
      <c r="R203" s="11">
        <v>199.9</v>
      </c>
      <c r="S203" s="11">
        <v>1052</v>
      </c>
      <c r="T203" s="11">
        <v>266839.8</v>
      </c>
      <c r="U203" s="12">
        <v>5.3999999999999999E-2</v>
      </c>
      <c r="V203" s="12">
        <v>0.85499999999999998</v>
      </c>
      <c r="W203" s="11">
        <v>1211.0999999999999</v>
      </c>
      <c r="X203" s="9" t="s">
        <v>288</v>
      </c>
      <c r="Y203" s="10">
        <v>45019</v>
      </c>
      <c r="Z203" s="13">
        <v>0.13120000000000001</v>
      </c>
      <c r="AC203" s="9" t="s">
        <v>289</v>
      </c>
      <c r="AD203" s="9" t="s">
        <v>290</v>
      </c>
      <c r="AE203" s="8">
        <v>1138.92156</v>
      </c>
      <c r="AF203" s="14">
        <v>45.140149999999998</v>
      </c>
      <c r="AG203" s="14">
        <v>1.3649500000000001</v>
      </c>
      <c r="AH203" s="9" t="s">
        <v>483</v>
      </c>
      <c r="AI203" s="15" t="s">
        <v>396</v>
      </c>
      <c r="AJ203" s="9" t="s">
        <v>293</v>
      </c>
      <c r="AK203" s="9" t="s">
        <v>2634</v>
      </c>
      <c r="AL203" s="9" t="s">
        <v>2635</v>
      </c>
      <c r="AM203" s="9"/>
      <c r="AN203" s="9" t="s">
        <v>2636</v>
      </c>
      <c r="AO203" s="9"/>
      <c r="AP203" s="9" t="s">
        <v>293</v>
      </c>
      <c r="AQ203" s="9" t="s">
        <v>293</v>
      </c>
      <c r="AR203" t="b">
        <v>1</v>
      </c>
      <c r="AS203" s="10"/>
      <c r="AT203" s="10" t="s">
        <v>299</v>
      </c>
      <c r="AU203" s="9" t="s">
        <v>1139</v>
      </c>
      <c r="AV203" t="b">
        <v>0</v>
      </c>
      <c r="AW203" s="12"/>
      <c r="AX203" s="11">
        <v>100</v>
      </c>
      <c r="AY203" s="9" t="s">
        <v>471</v>
      </c>
      <c r="AZ203" t="b">
        <v>1</v>
      </c>
      <c r="BA203" s="9" t="s">
        <v>472</v>
      </c>
      <c r="BB203" s="12"/>
      <c r="BC203" s="11">
        <v>100</v>
      </c>
      <c r="BD203" s="9" t="s">
        <v>325</v>
      </c>
      <c r="BE203" s="9" t="s">
        <v>301</v>
      </c>
      <c r="BF203" s="9" t="s">
        <v>356</v>
      </c>
      <c r="BG203" s="9" t="s">
        <v>749</v>
      </c>
      <c r="BH203" s="9" t="s">
        <v>304</v>
      </c>
      <c r="BI203" s="9" t="s">
        <v>981</v>
      </c>
      <c r="BJ203" s="9" t="s">
        <v>982</v>
      </c>
      <c r="BK203" s="11">
        <v>856</v>
      </c>
      <c r="BL203" s="16">
        <v>158.18955</v>
      </c>
      <c r="BM203" s="10">
        <v>45679</v>
      </c>
      <c r="BN203" s="10">
        <v>45792</v>
      </c>
      <c r="BO203" s="10"/>
      <c r="BP203" s="16"/>
      <c r="BQ203" s="16"/>
      <c r="BR203" s="9" t="s">
        <v>2637</v>
      </c>
      <c r="BS203" s="9" t="s">
        <v>2578</v>
      </c>
      <c r="BT203" s="9" t="s">
        <v>2630</v>
      </c>
      <c r="BU203" s="9" t="s">
        <v>2638</v>
      </c>
      <c r="BV203" s="9"/>
      <c r="BW203" s="10"/>
      <c r="BX203" s="15" t="s">
        <v>2639</v>
      </c>
      <c r="BY203" s="10"/>
      <c r="BZ203" s="10"/>
      <c r="CA203" s="10"/>
      <c r="CC203" s="9" t="s">
        <v>308</v>
      </c>
      <c r="CD203" s="9" t="s">
        <v>309</v>
      </c>
    </row>
    <row r="204" spans="1:82">
      <c r="A204" s="8">
        <v>12413</v>
      </c>
      <c r="B204" s="9" t="s">
        <v>2640</v>
      </c>
      <c r="C204" s="9" t="s">
        <v>1204</v>
      </c>
      <c r="D204" s="10">
        <v>45593</v>
      </c>
      <c r="E204" s="9" t="s">
        <v>2641</v>
      </c>
      <c r="F204" s="9" t="s">
        <v>2642</v>
      </c>
      <c r="G204" s="9" t="s">
        <v>2643</v>
      </c>
      <c r="H204" s="9" t="s">
        <v>281</v>
      </c>
      <c r="I204" s="9" t="s">
        <v>282</v>
      </c>
      <c r="J204" s="9" t="s">
        <v>283</v>
      </c>
      <c r="K204" s="9" t="s">
        <v>284</v>
      </c>
      <c r="L204" s="9" t="s">
        <v>2644</v>
      </c>
      <c r="M204" s="9" t="s">
        <v>2645</v>
      </c>
      <c r="N204" s="8">
        <v>1</v>
      </c>
      <c r="O204" s="9" t="s">
        <v>2646</v>
      </c>
      <c r="P204" s="11">
        <v>105.91</v>
      </c>
      <c r="Q204" s="11">
        <v>110</v>
      </c>
      <c r="R204" s="11">
        <v>86</v>
      </c>
      <c r="S204" s="11">
        <v>1277</v>
      </c>
      <c r="T204" s="11">
        <v>135247.07</v>
      </c>
      <c r="U204" s="12">
        <v>5.3999999999999999E-2</v>
      </c>
      <c r="V204" s="12">
        <v>0.85899999999999999</v>
      </c>
      <c r="W204" s="11">
        <v>1279.8</v>
      </c>
      <c r="X204" s="9" t="s">
        <v>288</v>
      </c>
      <c r="Y204" s="10">
        <v>44708</v>
      </c>
      <c r="Z204" s="13">
        <v>0.13120000000000001</v>
      </c>
      <c r="AC204" s="9" t="s">
        <v>289</v>
      </c>
      <c r="AD204" s="9" t="s">
        <v>290</v>
      </c>
      <c r="AE204" s="8">
        <v>475.55</v>
      </c>
      <c r="AF204" s="14">
        <v>45.494570000000003</v>
      </c>
      <c r="AG204" s="14">
        <v>-0.31168000000000001</v>
      </c>
      <c r="AH204" s="9" t="s">
        <v>483</v>
      </c>
      <c r="AI204" s="15" t="s">
        <v>319</v>
      </c>
      <c r="AJ204" s="9" t="s">
        <v>293</v>
      </c>
      <c r="AK204" s="9" t="s">
        <v>2647</v>
      </c>
      <c r="AL204" s="9" t="s">
        <v>2648</v>
      </c>
      <c r="AM204" s="9"/>
      <c r="AN204" s="9" t="s">
        <v>2649</v>
      </c>
      <c r="AO204" s="9"/>
      <c r="AP204" s="9" t="s">
        <v>2186</v>
      </c>
      <c r="AQ204" s="9" t="s">
        <v>298</v>
      </c>
      <c r="AR204" t="b">
        <v>0</v>
      </c>
      <c r="AS204" s="10"/>
      <c r="AT204" s="10" t="s">
        <v>299</v>
      </c>
      <c r="AU204" s="9"/>
      <c r="AV204" t="b">
        <v>0</v>
      </c>
      <c r="AW204" s="12"/>
      <c r="AX204" s="11"/>
      <c r="AY204" s="9"/>
      <c r="AZ204" t="b">
        <v>0</v>
      </c>
      <c r="BA204" s="9"/>
      <c r="BB204" s="12"/>
      <c r="BC204" s="11"/>
      <c r="BD204" s="9" t="s">
        <v>325</v>
      </c>
      <c r="BE204" s="9" t="s">
        <v>86</v>
      </c>
      <c r="BF204" s="9" t="s">
        <v>373</v>
      </c>
      <c r="BG204" s="9" t="s">
        <v>749</v>
      </c>
      <c r="BH204" s="9" t="s">
        <v>304</v>
      </c>
      <c r="BI204" s="9" t="s">
        <v>1213</v>
      </c>
      <c r="BJ204" s="9" t="s">
        <v>1214</v>
      </c>
      <c r="BK204" s="11">
        <v>856</v>
      </c>
      <c r="BL204" s="16">
        <v>103.96897</v>
      </c>
      <c r="BM204" s="10">
        <v>45684</v>
      </c>
      <c r="BN204" s="10">
        <v>45734</v>
      </c>
      <c r="BO204" s="10"/>
      <c r="BP204" s="16"/>
      <c r="BQ204" s="16"/>
      <c r="BR204" s="9"/>
      <c r="BS204" s="9"/>
      <c r="BT204" s="9"/>
      <c r="BU204" s="9"/>
      <c r="BV204" s="9"/>
      <c r="BW204" s="10"/>
      <c r="BX204" s="15" t="s">
        <v>2650</v>
      </c>
      <c r="BY204" s="10"/>
      <c r="BZ204" s="10"/>
      <c r="CA204" s="10"/>
      <c r="CC204" s="9" t="s">
        <v>308</v>
      </c>
      <c r="CD204" s="9" t="s">
        <v>309</v>
      </c>
    </row>
    <row r="205" spans="1:82">
      <c r="A205" s="8">
        <v>95685</v>
      </c>
      <c r="B205" s="9" t="s">
        <v>1358</v>
      </c>
      <c r="C205" s="9" t="s">
        <v>1204</v>
      </c>
      <c r="D205" s="10">
        <v>45588</v>
      </c>
      <c r="E205" s="9" t="s">
        <v>2651</v>
      </c>
      <c r="F205" s="9" t="s">
        <v>2652</v>
      </c>
      <c r="G205" s="9" t="s">
        <v>1637</v>
      </c>
      <c r="H205" s="9" t="s">
        <v>281</v>
      </c>
      <c r="I205" s="9" t="s">
        <v>282</v>
      </c>
      <c r="J205" s="9" t="s">
        <v>283</v>
      </c>
      <c r="K205" s="9" t="s">
        <v>284</v>
      </c>
      <c r="L205" s="9" t="s">
        <v>2653</v>
      </c>
      <c r="M205" s="9" t="s">
        <v>2654</v>
      </c>
      <c r="N205" s="8">
        <v>2</v>
      </c>
      <c r="O205" s="9" t="s">
        <v>2655</v>
      </c>
      <c r="P205" s="11">
        <v>499.95</v>
      </c>
      <c r="Q205" s="11">
        <v>440</v>
      </c>
      <c r="R205" s="11">
        <v>406.4</v>
      </c>
      <c r="S205" s="11">
        <v>1178.4880000000001</v>
      </c>
      <c r="T205" s="11">
        <v>589185.07559999998</v>
      </c>
      <c r="U205" s="12">
        <v>5.3999999999999999E-2</v>
      </c>
      <c r="V205" s="12">
        <v>0.86499999999999999</v>
      </c>
      <c r="W205" s="11">
        <v>1194.7</v>
      </c>
      <c r="X205" s="9" t="s">
        <v>288</v>
      </c>
      <c r="Y205" s="10">
        <v>44957</v>
      </c>
      <c r="Z205" s="13">
        <v>0.13120000000000001</v>
      </c>
      <c r="AA205" t="b">
        <v>1</v>
      </c>
      <c r="AC205" s="9" t="s">
        <v>289</v>
      </c>
      <c r="AD205" s="9" t="s">
        <v>290</v>
      </c>
      <c r="AE205" s="8">
        <v>2219.9</v>
      </c>
      <c r="AF205" s="14">
        <v>46.179290000000002</v>
      </c>
      <c r="AG205" s="14">
        <v>1.64943</v>
      </c>
      <c r="AH205" s="9" t="s">
        <v>483</v>
      </c>
      <c r="AI205" s="15" t="s">
        <v>319</v>
      </c>
      <c r="AJ205" s="9" t="s">
        <v>293</v>
      </c>
      <c r="AK205" s="9" t="s">
        <v>2656</v>
      </c>
      <c r="AL205" s="9" t="s">
        <v>1364</v>
      </c>
      <c r="AM205" s="9"/>
      <c r="AN205" s="9" t="s">
        <v>2657</v>
      </c>
      <c r="AO205" s="9"/>
      <c r="AP205" s="9" t="s">
        <v>108</v>
      </c>
      <c r="AQ205" s="9" t="s">
        <v>298</v>
      </c>
      <c r="AR205" t="b">
        <v>0</v>
      </c>
      <c r="AS205" s="10"/>
      <c r="AT205" s="10" t="s">
        <v>299</v>
      </c>
      <c r="AU205" s="9"/>
      <c r="AV205" t="b">
        <v>0</v>
      </c>
      <c r="AW205" s="12"/>
      <c r="AX205" s="11"/>
      <c r="AY205" s="9"/>
      <c r="AZ205" t="b">
        <v>0</v>
      </c>
      <c r="BA205" s="9"/>
      <c r="BB205" s="12"/>
      <c r="BC205" s="11"/>
      <c r="BD205" s="9" t="s">
        <v>325</v>
      </c>
      <c r="BE205" s="9" t="s">
        <v>86</v>
      </c>
      <c r="BF205" s="9" t="s">
        <v>356</v>
      </c>
      <c r="BG205" s="9" t="s">
        <v>529</v>
      </c>
      <c r="BH205" s="9" t="s">
        <v>304</v>
      </c>
      <c r="BI205" s="9" t="s">
        <v>1213</v>
      </c>
      <c r="BJ205" s="9" t="s">
        <v>1214</v>
      </c>
      <c r="BK205" s="11">
        <v>856</v>
      </c>
      <c r="BL205" s="16">
        <v>248.58165</v>
      </c>
      <c r="BM205" s="10">
        <v>45642</v>
      </c>
      <c r="BN205" s="10">
        <v>45821</v>
      </c>
      <c r="BO205" s="10"/>
      <c r="BP205" s="16"/>
      <c r="BQ205" s="16"/>
      <c r="BR205" s="9"/>
      <c r="BS205" s="9"/>
      <c r="BT205" s="9"/>
      <c r="BU205" s="9"/>
      <c r="BV205" s="9"/>
      <c r="BW205" s="10"/>
      <c r="BX205" s="15" t="s">
        <v>2658</v>
      </c>
      <c r="BY205" s="10"/>
      <c r="BZ205" s="10"/>
      <c r="CA205" s="10"/>
      <c r="CC205" s="9" t="s">
        <v>308</v>
      </c>
      <c r="CD205" s="9" t="s">
        <v>309</v>
      </c>
    </row>
    <row r="206" spans="1:82">
      <c r="A206" s="8">
        <v>60372</v>
      </c>
      <c r="B206" s="9" t="s">
        <v>2659</v>
      </c>
      <c r="C206" s="9" t="s">
        <v>970</v>
      </c>
      <c r="D206" s="10">
        <v>45588</v>
      </c>
      <c r="E206" s="9" t="s">
        <v>2660</v>
      </c>
      <c r="F206" s="9" t="s">
        <v>2661</v>
      </c>
      <c r="G206" s="9" t="s">
        <v>2662</v>
      </c>
      <c r="H206" s="9" t="s">
        <v>281</v>
      </c>
      <c r="I206" s="9" t="s">
        <v>282</v>
      </c>
      <c r="J206" s="9" t="s">
        <v>283</v>
      </c>
      <c r="K206" s="9" t="s">
        <v>284</v>
      </c>
      <c r="L206" s="9" t="s">
        <v>2663</v>
      </c>
      <c r="M206" s="9" t="s">
        <v>2664</v>
      </c>
      <c r="N206" s="8">
        <v>1</v>
      </c>
      <c r="O206" s="9" t="s">
        <v>2665</v>
      </c>
      <c r="P206" s="11">
        <v>311.5</v>
      </c>
      <c r="Q206" s="11">
        <v>250</v>
      </c>
      <c r="R206" s="11">
        <v>249.9</v>
      </c>
      <c r="S206" s="11">
        <v>988.54</v>
      </c>
      <c r="T206" s="11">
        <v>307930.21000000002</v>
      </c>
      <c r="U206" s="12">
        <v>5.2999999999999999E-2</v>
      </c>
      <c r="V206" s="12">
        <v>0.86699999999999999</v>
      </c>
      <c r="W206" s="11">
        <v>965.6</v>
      </c>
      <c r="X206" s="9" t="s">
        <v>288</v>
      </c>
      <c r="Y206" s="10">
        <v>44903</v>
      </c>
      <c r="Z206" s="13">
        <v>0.13109999999999999</v>
      </c>
      <c r="AC206" s="9" t="s">
        <v>289</v>
      </c>
      <c r="AD206" s="9" t="s">
        <v>290</v>
      </c>
      <c r="AE206" s="8">
        <v>1398.6756</v>
      </c>
      <c r="AF206" s="14">
        <v>49.26632</v>
      </c>
      <c r="AG206" s="14">
        <v>0.72587999999999997</v>
      </c>
      <c r="AH206" s="9" t="s">
        <v>483</v>
      </c>
      <c r="AI206" s="15" t="s">
        <v>396</v>
      </c>
      <c r="AJ206" s="9" t="s">
        <v>293</v>
      </c>
      <c r="AK206" s="9" t="s">
        <v>2666</v>
      </c>
      <c r="AL206" s="9" t="s">
        <v>2667</v>
      </c>
      <c r="AM206" s="9"/>
      <c r="AN206" s="9" t="s">
        <v>2668</v>
      </c>
      <c r="AO206" s="9"/>
      <c r="AP206" s="9" t="s">
        <v>43</v>
      </c>
      <c r="AQ206" s="9" t="s">
        <v>847</v>
      </c>
      <c r="AR206" t="b">
        <v>0</v>
      </c>
      <c r="AS206" s="10"/>
      <c r="AT206" s="10" t="s">
        <v>299</v>
      </c>
      <c r="AU206" s="9"/>
      <c r="AV206" t="b">
        <v>0</v>
      </c>
      <c r="AW206" s="12"/>
      <c r="AX206" s="11"/>
      <c r="AY206" s="9"/>
      <c r="AZ206" t="b">
        <v>0</v>
      </c>
      <c r="BA206" s="9"/>
      <c r="BB206" s="12"/>
      <c r="BC206" s="11"/>
      <c r="BD206" s="9" t="s">
        <v>300</v>
      </c>
      <c r="BE206" s="9" t="s">
        <v>301</v>
      </c>
      <c r="BF206" s="9" t="s">
        <v>302</v>
      </c>
      <c r="BG206" s="9" t="s">
        <v>980</v>
      </c>
      <c r="BH206" s="9" t="s">
        <v>304</v>
      </c>
      <c r="BI206" s="9" t="s">
        <v>981</v>
      </c>
      <c r="BJ206" s="9" t="s">
        <v>982</v>
      </c>
      <c r="BK206" s="11">
        <v>856</v>
      </c>
      <c r="BL206" s="16">
        <v>179.4205</v>
      </c>
      <c r="BM206" s="10">
        <v>45604</v>
      </c>
      <c r="BN206" s="10">
        <v>45770</v>
      </c>
      <c r="BO206" s="10"/>
      <c r="BP206" s="16"/>
      <c r="BQ206" s="16"/>
      <c r="BR206" s="9" t="s">
        <v>2669</v>
      </c>
      <c r="BS206" s="9" t="s">
        <v>2670</v>
      </c>
      <c r="BT206" s="9" t="s">
        <v>2662</v>
      </c>
      <c r="BU206" s="9" t="s">
        <v>2661</v>
      </c>
      <c r="BV206" s="9"/>
      <c r="BW206" s="10"/>
      <c r="BX206" s="15" t="s">
        <v>1070</v>
      </c>
      <c r="BY206" s="10"/>
      <c r="BZ206" s="10"/>
      <c r="CA206" s="10"/>
      <c r="CC206" s="9" t="s">
        <v>308</v>
      </c>
      <c r="CD206" s="9" t="s">
        <v>309</v>
      </c>
    </row>
    <row r="207" spans="1:82">
      <c r="A207" s="8">
        <v>26991</v>
      </c>
      <c r="B207" s="9" t="s">
        <v>2671</v>
      </c>
      <c r="C207" s="9" t="s">
        <v>475</v>
      </c>
      <c r="D207" s="10">
        <v>45587</v>
      </c>
      <c r="E207" s="9" t="s">
        <v>2672</v>
      </c>
      <c r="F207" s="9" t="s">
        <v>2673</v>
      </c>
      <c r="G207" s="9" t="s">
        <v>2674</v>
      </c>
      <c r="H207" s="9" t="s">
        <v>315</v>
      </c>
      <c r="I207" s="9" t="s">
        <v>282</v>
      </c>
      <c r="J207" s="9" t="s">
        <v>283</v>
      </c>
      <c r="K207" s="9" t="s">
        <v>284</v>
      </c>
      <c r="L207" s="9" t="s">
        <v>2675</v>
      </c>
      <c r="M207" s="9" t="s">
        <v>2676</v>
      </c>
      <c r="N207" s="8">
        <v>2</v>
      </c>
      <c r="O207" s="9" t="s">
        <v>2677</v>
      </c>
      <c r="P207" s="11">
        <v>493.64</v>
      </c>
      <c r="Q207" s="11">
        <v>444</v>
      </c>
      <c r="R207" s="11">
        <v>416.6</v>
      </c>
      <c r="S207" s="11">
        <v>1125.06</v>
      </c>
      <c r="T207" s="11">
        <v>555374.61840000004</v>
      </c>
      <c r="U207" s="12">
        <v>5.2999999999999999E-2</v>
      </c>
      <c r="V207" s="12">
        <v>0.85399999999999998</v>
      </c>
      <c r="W207" s="11">
        <v>1126.3</v>
      </c>
      <c r="X207" s="9" t="s">
        <v>288</v>
      </c>
      <c r="Y207" s="10">
        <v>44783</v>
      </c>
      <c r="Z207" s="13">
        <v>0.12870000000000001</v>
      </c>
      <c r="AC207" s="9" t="s">
        <v>289</v>
      </c>
      <c r="AD207" s="9" t="s">
        <v>290</v>
      </c>
      <c r="AE207" s="8">
        <v>2398</v>
      </c>
      <c r="AF207" s="14">
        <v>43.464979999999997</v>
      </c>
      <c r="AG207" s="14">
        <v>-0.70370999999999995</v>
      </c>
      <c r="AH207" s="9" t="s">
        <v>483</v>
      </c>
      <c r="AI207" s="15" t="s">
        <v>319</v>
      </c>
      <c r="AJ207" s="9" t="s">
        <v>293</v>
      </c>
      <c r="AK207" s="9" t="s">
        <v>2678</v>
      </c>
      <c r="AL207" s="9" t="s">
        <v>2679</v>
      </c>
      <c r="AM207" s="9"/>
      <c r="AN207" s="9" t="s">
        <v>2680</v>
      </c>
      <c r="AO207" s="9"/>
      <c r="AP207" s="9" t="s">
        <v>123</v>
      </c>
      <c r="AQ207" s="9" t="s">
        <v>123</v>
      </c>
      <c r="AR207" t="b">
        <v>1</v>
      </c>
      <c r="AS207" s="10">
        <v>45657</v>
      </c>
      <c r="AT207" s="10">
        <v>46022</v>
      </c>
      <c r="AU207" s="9" t="s">
        <v>1139</v>
      </c>
      <c r="AV207" t="b">
        <v>1</v>
      </c>
      <c r="AW207" s="12"/>
      <c r="AX207" s="11">
        <v>1700</v>
      </c>
      <c r="AY207" s="9" t="s">
        <v>471</v>
      </c>
      <c r="AZ207" t="b">
        <v>1</v>
      </c>
      <c r="BA207" s="9" t="s">
        <v>472</v>
      </c>
      <c r="BB207" s="12"/>
      <c r="BC207" s="11">
        <v>1700</v>
      </c>
      <c r="BD207" s="9" t="s">
        <v>325</v>
      </c>
      <c r="BE207" s="9" t="s">
        <v>47</v>
      </c>
      <c r="BF207" s="9" t="s">
        <v>1111</v>
      </c>
      <c r="BG207" s="9" t="s">
        <v>749</v>
      </c>
      <c r="BH207" s="9" t="s">
        <v>304</v>
      </c>
      <c r="BI207" s="9" t="s">
        <v>490</v>
      </c>
      <c r="BJ207" s="9" t="s">
        <v>491</v>
      </c>
      <c r="BK207" s="11">
        <v>856</v>
      </c>
      <c r="BL207" s="16">
        <v>246.26588000000001</v>
      </c>
      <c r="BM207" s="10">
        <v>45708</v>
      </c>
      <c r="BN207" s="10">
        <v>45741</v>
      </c>
      <c r="BO207" s="10"/>
      <c r="BP207" s="16"/>
      <c r="BQ207" s="16"/>
      <c r="BR207" s="9" t="s">
        <v>2681</v>
      </c>
      <c r="BS207" s="9" t="s">
        <v>2672</v>
      </c>
      <c r="BT207" s="9" t="s">
        <v>2682</v>
      </c>
      <c r="BU207" s="9" t="s">
        <v>2683</v>
      </c>
      <c r="BV207" s="9" t="s">
        <v>2684</v>
      </c>
      <c r="BW207" s="10"/>
      <c r="BX207" s="15" t="s">
        <v>2685</v>
      </c>
      <c r="BY207" s="10"/>
      <c r="BZ207" s="10"/>
      <c r="CA207" s="10"/>
      <c r="CC207" s="9" t="s">
        <v>308</v>
      </c>
      <c r="CD207" s="9" t="s">
        <v>309</v>
      </c>
    </row>
    <row r="208" spans="1:82">
      <c r="A208" s="8">
        <v>17966</v>
      </c>
      <c r="B208" s="9" t="s">
        <v>1428</v>
      </c>
      <c r="C208" s="9" t="s">
        <v>970</v>
      </c>
      <c r="D208" s="10">
        <v>45587</v>
      </c>
      <c r="E208" s="9" t="s">
        <v>2686</v>
      </c>
      <c r="F208" s="9" t="s">
        <v>2687</v>
      </c>
      <c r="G208" s="9" t="s">
        <v>1431</v>
      </c>
      <c r="H208" s="9" t="s">
        <v>315</v>
      </c>
      <c r="I208" s="9" t="s">
        <v>282</v>
      </c>
      <c r="J208" s="9" t="s">
        <v>283</v>
      </c>
      <c r="K208" s="9" t="s">
        <v>284</v>
      </c>
      <c r="L208" s="9" t="s">
        <v>2688</v>
      </c>
      <c r="M208" s="9" t="s">
        <v>2689</v>
      </c>
      <c r="N208" s="8">
        <v>1</v>
      </c>
      <c r="O208" s="9" t="s">
        <v>2690</v>
      </c>
      <c r="P208" s="11">
        <v>123.41</v>
      </c>
      <c r="Q208" s="11">
        <v>110</v>
      </c>
      <c r="R208" s="11">
        <v>90</v>
      </c>
      <c r="S208" s="11">
        <v>1224</v>
      </c>
      <c r="T208" s="11">
        <v>151053.84</v>
      </c>
      <c r="U208" s="12">
        <v>5.3999999999999999E-2</v>
      </c>
      <c r="V208" s="12">
        <v>0.85399999999999998</v>
      </c>
      <c r="W208" s="11">
        <v>1143.5999999999999</v>
      </c>
      <c r="X208" s="9" t="s">
        <v>288</v>
      </c>
      <c r="Y208" s="10">
        <v>44977</v>
      </c>
      <c r="Z208" s="13">
        <v>0.12870000000000001</v>
      </c>
      <c r="AA208" t="b">
        <v>1</v>
      </c>
      <c r="AC208" s="9" t="s">
        <v>289</v>
      </c>
      <c r="AD208" s="9" t="s">
        <v>290</v>
      </c>
      <c r="AE208" s="8">
        <v>579.10860000000002</v>
      </c>
      <c r="AF208" s="14">
        <v>44.927660000000003</v>
      </c>
      <c r="AG208" s="14">
        <v>2.9903599999999999</v>
      </c>
      <c r="AH208" s="9" t="s">
        <v>483</v>
      </c>
      <c r="AI208" s="15" t="s">
        <v>319</v>
      </c>
      <c r="AJ208" s="9" t="s">
        <v>293</v>
      </c>
      <c r="AK208" s="9" t="s">
        <v>1435</v>
      </c>
      <c r="AL208" s="9" t="s">
        <v>1436</v>
      </c>
      <c r="AM208" s="9"/>
      <c r="AN208" s="9" t="s">
        <v>2691</v>
      </c>
      <c r="AO208" s="9"/>
      <c r="AP208" s="9" t="s">
        <v>113</v>
      </c>
      <c r="AQ208" s="9" t="s">
        <v>2692</v>
      </c>
      <c r="AR208" t="b">
        <v>1</v>
      </c>
      <c r="AS208" s="10">
        <v>45587</v>
      </c>
      <c r="AT208" s="10">
        <v>45952</v>
      </c>
      <c r="AU208" s="9" t="s">
        <v>612</v>
      </c>
      <c r="AV208" t="b">
        <v>0</v>
      </c>
      <c r="AW208" s="12"/>
      <c r="AX208" s="11">
        <v>10</v>
      </c>
      <c r="AY208" s="9"/>
      <c r="AZ208" t="b">
        <v>0</v>
      </c>
      <c r="BA208" s="9"/>
      <c r="BB208" s="12"/>
      <c r="BC208" s="11"/>
      <c r="BD208" s="9" t="s">
        <v>325</v>
      </c>
      <c r="BE208" s="9" t="s">
        <v>301</v>
      </c>
      <c r="BF208" s="9" t="s">
        <v>702</v>
      </c>
      <c r="BG208" s="9" t="s">
        <v>738</v>
      </c>
      <c r="BH208" s="9" t="s">
        <v>304</v>
      </c>
      <c r="BI208" s="9" t="s">
        <v>981</v>
      </c>
      <c r="BJ208" s="9" t="s">
        <v>982</v>
      </c>
      <c r="BK208" s="11">
        <v>856</v>
      </c>
      <c r="BL208" s="16">
        <v>110.39147</v>
      </c>
      <c r="BM208" s="10">
        <v>45633</v>
      </c>
      <c r="BN208" s="10">
        <v>45735</v>
      </c>
      <c r="BO208" s="10"/>
      <c r="BP208" s="16"/>
      <c r="BQ208" s="16"/>
      <c r="BR208" s="9" t="s">
        <v>2693</v>
      </c>
      <c r="BS208" s="9" t="s">
        <v>2694</v>
      </c>
      <c r="BT208" s="9" t="s">
        <v>2695</v>
      </c>
      <c r="BU208" s="9" t="s">
        <v>1430</v>
      </c>
      <c r="BV208" s="9"/>
      <c r="BW208" s="10"/>
      <c r="BX208" s="15" t="s">
        <v>2696</v>
      </c>
      <c r="BY208" s="10"/>
      <c r="BZ208" s="10"/>
      <c r="CA208" s="10"/>
      <c r="CC208" s="9" t="s">
        <v>308</v>
      </c>
      <c r="CD208" s="9" t="s">
        <v>309</v>
      </c>
    </row>
    <row r="209" spans="1:82">
      <c r="A209" s="8">
        <v>21778</v>
      </c>
      <c r="B209" s="9" t="s">
        <v>2697</v>
      </c>
      <c r="C209" s="9" t="s">
        <v>1257</v>
      </c>
      <c r="D209" s="10">
        <v>45580</v>
      </c>
      <c r="E209" s="9" t="s">
        <v>2698</v>
      </c>
      <c r="F209" s="9" t="s">
        <v>2699</v>
      </c>
      <c r="G209" s="9" t="s">
        <v>2700</v>
      </c>
      <c r="H209" s="9" t="s">
        <v>281</v>
      </c>
      <c r="I209" s="9" t="s">
        <v>282</v>
      </c>
      <c r="J209" s="9" t="s">
        <v>719</v>
      </c>
      <c r="K209" s="9" t="s">
        <v>284</v>
      </c>
      <c r="L209" s="9" t="s">
        <v>2701</v>
      </c>
      <c r="M209" s="9" t="s">
        <v>2702</v>
      </c>
      <c r="N209" s="8">
        <v>1</v>
      </c>
      <c r="O209" s="9" t="s">
        <v>2703</v>
      </c>
      <c r="P209" s="11">
        <v>230.065</v>
      </c>
      <c r="Q209" s="11">
        <v>220</v>
      </c>
      <c r="R209" s="11">
        <v>190</v>
      </c>
      <c r="S209" s="11">
        <v>1133</v>
      </c>
      <c r="T209" s="11">
        <v>260663.64499999999</v>
      </c>
      <c r="U209" s="12">
        <v>5.3999999999999999E-2</v>
      </c>
      <c r="V209" s="12">
        <v>0.85499999999999998</v>
      </c>
      <c r="W209" s="11">
        <v>1130.8</v>
      </c>
      <c r="X209" s="9" t="s">
        <v>288</v>
      </c>
      <c r="Y209" s="10">
        <v>44768</v>
      </c>
      <c r="Z209" s="13">
        <v>0.13120000000000001</v>
      </c>
      <c r="AC209" s="9" t="s">
        <v>289</v>
      </c>
      <c r="AD209" s="9" t="s">
        <v>290</v>
      </c>
      <c r="AE209" s="8">
        <v>1033.0218400000001</v>
      </c>
      <c r="AF209" s="14">
        <v>44.89264</v>
      </c>
      <c r="AG209" s="14">
        <v>1.47035</v>
      </c>
      <c r="AH209" s="9" t="s">
        <v>483</v>
      </c>
      <c r="AI209" s="15" t="s">
        <v>319</v>
      </c>
      <c r="AJ209" s="9" t="s">
        <v>293</v>
      </c>
      <c r="AK209" s="9" t="s">
        <v>2704</v>
      </c>
      <c r="AL209" s="9" t="s">
        <v>2705</v>
      </c>
      <c r="AM209" s="9"/>
      <c r="AN209" s="9" t="s">
        <v>2706</v>
      </c>
      <c r="AO209" s="9"/>
      <c r="AP209" s="9" t="s">
        <v>371</v>
      </c>
      <c r="AQ209" s="9" t="s">
        <v>298</v>
      </c>
      <c r="AR209" t="b">
        <v>0</v>
      </c>
      <c r="AS209" s="10"/>
      <c r="AT209" s="10" t="s">
        <v>299</v>
      </c>
      <c r="AU209" s="9"/>
      <c r="AV209" t="b">
        <v>0</v>
      </c>
      <c r="AW209" s="12"/>
      <c r="AX209" s="11"/>
      <c r="AY209" s="9"/>
      <c r="AZ209" t="b">
        <v>0</v>
      </c>
      <c r="BA209" s="9"/>
      <c r="BB209" s="12"/>
      <c r="BC209" s="11"/>
      <c r="BD209" s="9" t="s">
        <v>325</v>
      </c>
      <c r="BE209" s="9" t="s">
        <v>47</v>
      </c>
      <c r="BF209" s="9" t="s">
        <v>702</v>
      </c>
      <c r="BG209" s="9" t="s">
        <v>749</v>
      </c>
      <c r="BH209" s="9" t="s">
        <v>304</v>
      </c>
      <c r="BI209" s="9" t="s">
        <v>1267</v>
      </c>
      <c r="BJ209" s="9" t="s">
        <v>1268</v>
      </c>
      <c r="BK209" s="11">
        <v>856</v>
      </c>
      <c r="BL209" s="16">
        <v>149.53385499999999</v>
      </c>
      <c r="BM209" s="10">
        <v>45716</v>
      </c>
      <c r="BN209" s="10">
        <v>45734</v>
      </c>
      <c r="BO209" s="10"/>
      <c r="BP209" s="16"/>
      <c r="BQ209" s="16"/>
      <c r="BR209" s="9" t="s">
        <v>2707</v>
      </c>
      <c r="BS209" s="9" t="s">
        <v>2708</v>
      </c>
      <c r="BT209" s="9" t="s">
        <v>2700</v>
      </c>
      <c r="BU209" s="9" t="s">
        <v>2699</v>
      </c>
      <c r="BV209" s="9" t="s">
        <v>2709</v>
      </c>
      <c r="BW209" s="10"/>
      <c r="BX209" s="15" t="s">
        <v>1342</v>
      </c>
      <c r="BY209" s="10"/>
      <c r="BZ209" s="10"/>
      <c r="CA209" s="10"/>
      <c r="CC209" s="9" t="s">
        <v>308</v>
      </c>
      <c r="CD209" s="9" t="s">
        <v>309</v>
      </c>
    </row>
    <row r="210" spans="1:82">
      <c r="A210" s="8">
        <v>33558</v>
      </c>
      <c r="B210" s="9" t="s">
        <v>2710</v>
      </c>
      <c r="C210" s="9" t="s">
        <v>970</v>
      </c>
      <c r="D210" s="10">
        <v>45579</v>
      </c>
      <c r="E210" s="9" t="s">
        <v>2711</v>
      </c>
      <c r="F210" s="9" t="s">
        <v>2712</v>
      </c>
      <c r="G210" s="9" t="s">
        <v>2713</v>
      </c>
      <c r="H210" s="9" t="s">
        <v>281</v>
      </c>
      <c r="I210" s="9" t="s">
        <v>282</v>
      </c>
      <c r="J210" s="9" t="s">
        <v>283</v>
      </c>
      <c r="K210" s="9" t="s">
        <v>284</v>
      </c>
      <c r="L210" s="9" t="s">
        <v>2714</v>
      </c>
      <c r="M210" s="9" t="s">
        <v>2715</v>
      </c>
      <c r="N210" s="8">
        <v>1</v>
      </c>
      <c r="O210" s="9" t="s">
        <v>2716</v>
      </c>
      <c r="P210" s="11">
        <v>193.5</v>
      </c>
      <c r="Q210" s="11">
        <v>165</v>
      </c>
      <c r="R210" s="11">
        <v>153</v>
      </c>
      <c r="S210" s="11">
        <v>1275.18</v>
      </c>
      <c r="T210" s="11">
        <v>246747.33</v>
      </c>
      <c r="U210" s="12">
        <v>5.3999999999999999E-2</v>
      </c>
      <c r="V210" s="12">
        <v>0.85099999999999998</v>
      </c>
      <c r="W210" s="11">
        <v>1227.8</v>
      </c>
      <c r="X210" s="9" t="s">
        <v>288</v>
      </c>
      <c r="Y210" s="10">
        <v>44894</v>
      </c>
      <c r="Z210" s="13">
        <v>0.13120000000000001</v>
      </c>
      <c r="AC210" s="9" t="s">
        <v>289</v>
      </c>
      <c r="AD210" s="9" t="s">
        <v>290</v>
      </c>
      <c r="AE210" s="8">
        <v>908.01</v>
      </c>
      <c r="AF210" s="14">
        <v>44.759309999999999</v>
      </c>
      <c r="AG210" s="14">
        <v>0.71374000000000004</v>
      </c>
      <c r="AH210" s="9" t="s">
        <v>483</v>
      </c>
      <c r="AI210" s="15" t="s">
        <v>319</v>
      </c>
      <c r="AJ210" s="9" t="s">
        <v>293</v>
      </c>
      <c r="AK210" s="9" t="s">
        <v>2717</v>
      </c>
      <c r="AL210" s="9" t="s">
        <v>2718</v>
      </c>
      <c r="AM210" s="9"/>
      <c r="AN210" s="9" t="s">
        <v>2719</v>
      </c>
      <c r="AO210" s="9"/>
      <c r="AP210" s="9" t="s">
        <v>371</v>
      </c>
      <c r="AQ210" s="9" t="s">
        <v>298</v>
      </c>
      <c r="AR210" t="b">
        <v>0</v>
      </c>
      <c r="AS210" s="10"/>
      <c r="AT210" s="10" t="s">
        <v>299</v>
      </c>
      <c r="AU210" s="9"/>
      <c r="AV210" t="b">
        <v>0</v>
      </c>
      <c r="AW210" s="12"/>
      <c r="AX210" s="11"/>
      <c r="AY210" s="9"/>
      <c r="AZ210" t="b">
        <v>0</v>
      </c>
      <c r="BA210" s="9"/>
      <c r="BB210" s="12"/>
      <c r="BC210" s="11"/>
      <c r="BD210" s="9" t="s">
        <v>300</v>
      </c>
      <c r="BE210" s="9" t="s">
        <v>301</v>
      </c>
      <c r="BF210" s="9" t="s">
        <v>702</v>
      </c>
      <c r="BG210" s="9" t="s">
        <v>749</v>
      </c>
      <c r="BH210" s="9" t="s">
        <v>304</v>
      </c>
      <c r="BI210" s="9" t="s">
        <v>981</v>
      </c>
      <c r="BJ210" s="9" t="s">
        <v>982</v>
      </c>
      <c r="BK210" s="11">
        <v>856</v>
      </c>
      <c r="BL210" s="16">
        <v>136.11449999999999</v>
      </c>
      <c r="BM210" s="10">
        <v>45700</v>
      </c>
      <c r="BN210" s="10">
        <v>45735</v>
      </c>
      <c r="BO210" s="10"/>
      <c r="BP210" s="16"/>
      <c r="BQ210" s="16"/>
      <c r="BR210" s="9" t="s">
        <v>2717</v>
      </c>
      <c r="BS210" s="9" t="s">
        <v>2694</v>
      </c>
      <c r="BT210" s="9" t="s">
        <v>2713</v>
      </c>
      <c r="BU210" s="9" t="s">
        <v>2720</v>
      </c>
      <c r="BV210" s="9"/>
      <c r="BW210" s="10"/>
      <c r="BX210" s="15" t="s">
        <v>2721</v>
      </c>
      <c r="BY210" s="10"/>
      <c r="BZ210" s="10"/>
      <c r="CA210" s="10"/>
      <c r="CC210" s="9" t="s">
        <v>308</v>
      </c>
      <c r="CD210" s="9" t="s">
        <v>309</v>
      </c>
    </row>
    <row r="211" spans="1:82">
      <c r="A211" s="8">
        <v>32477</v>
      </c>
      <c r="B211" s="9" t="s">
        <v>2722</v>
      </c>
      <c r="C211" s="9" t="s">
        <v>932</v>
      </c>
      <c r="D211" s="10">
        <v>45575</v>
      </c>
      <c r="E211" s="9" t="s">
        <v>2723</v>
      </c>
      <c r="F211" s="9" t="s">
        <v>2724</v>
      </c>
      <c r="G211" s="9" t="s">
        <v>2725</v>
      </c>
      <c r="H211" s="9" t="s">
        <v>281</v>
      </c>
      <c r="I211" s="9" t="s">
        <v>282</v>
      </c>
      <c r="J211" s="9" t="s">
        <v>283</v>
      </c>
      <c r="K211" s="9" t="s">
        <v>284</v>
      </c>
      <c r="L211" s="9" t="s">
        <v>2726</v>
      </c>
      <c r="M211" s="9" t="s">
        <v>2727</v>
      </c>
      <c r="N211" s="8">
        <v>1</v>
      </c>
      <c r="O211" s="9" t="s">
        <v>2728</v>
      </c>
      <c r="P211" s="11">
        <v>376.25</v>
      </c>
      <c r="Q211" s="11">
        <v>253</v>
      </c>
      <c r="R211" s="11">
        <v>249.9</v>
      </c>
      <c r="S211" s="11">
        <v>1248</v>
      </c>
      <c r="T211" s="11">
        <v>469560</v>
      </c>
      <c r="U211" s="12">
        <v>5.2999999999999999E-2</v>
      </c>
      <c r="V211" s="12">
        <v>0.86299999999999999</v>
      </c>
      <c r="W211" s="11">
        <v>1283.3</v>
      </c>
      <c r="X211" s="9" t="s">
        <v>288</v>
      </c>
      <c r="Y211" s="10">
        <v>45037</v>
      </c>
      <c r="Z211" s="13">
        <v>0.13120000000000001</v>
      </c>
      <c r="AC211" s="9" t="s">
        <v>289</v>
      </c>
      <c r="AD211" s="9" t="s">
        <v>290</v>
      </c>
      <c r="AE211" s="8">
        <v>1702.6279999999999</v>
      </c>
      <c r="AF211" s="14">
        <v>42.996139999999997</v>
      </c>
      <c r="AG211" s="14">
        <v>1.8716900000000001</v>
      </c>
      <c r="AH211" s="9" t="s">
        <v>483</v>
      </c>
      <c r="AI211" s="15" t="s">
        <v>396</v>
      </c>
      <c r="AJ211" s="9" t="s">
        <v>293</v>
      </c>
      <c r="AK211" s="9" t="s">
        <v>2729</v>
      </c>
      <c r="AL211" s="9" t="s">
        <v>2730</v>
      </c>
      <c r="AM211" s="9"/>
      <c r="AN211" s="9" t="s">
        <v>2731</v>
      </c>
      <c r="AO211" s="9"/>
      <c r="AP211" s="9" t="s">
        <v>43</v>
      </c>
      <c r="AQ211" s="9" t="s">
        <v>847</v>
      </c>
      <c r="AR211" t="b">
        <v>0</v>
      </c>
      <c r="AS211" s="10"/>
      <c r="AT211" s="10" t="s">
        <v>299</v>
      </c>
      <c r="AU211" s="9"/>
      <c r="AV211" t="b">
        <v>0</v>
      </c>
      <c r="AW211" s="12"/>
      <c r="AX211" s="11"/>
      <c r="AY211" s="9"/>
      <c r="AZ211" t="b">
        <v>0</v>
      </c>
      <c r="BA211" s="9"/>
      <c r="BB211" s="12"/>
      <c r="BC211" s="11"/>
      <c r="BD211" s="9" t="s">
        <v>325</v>
      </c>
      <c r="BE211" s="9" t="s">
        <v>301</v>
      </c>
      <c r="BF211" s="9" t="s">
        <v>702</v>
      </c>
      <c r="BG211" s="9" t="s">
        <v>738</v>
      </c>
      <c r="BH211" s="9" t="s">
        <v>304</v>
      </c>
      <c r="BI211" s="9" t="s">
        <v>943</v>
      </c>
      <c r="BJ211" s="9" t="s">
        <v>944</v>
      </c>
      <c r="BK211" s="11">
        <v>856</v>
      </c>
      <c r="BL211" s="16">
        <v>203.18375</v>
      </c>
      <c r="BM211" s="10">
        <v>45666</v>
      </c>
      <c r="BN211" s="10">
        <v>45744</v>
      </c>
      <c r="BO211" s="10"/>
      <c r="BP211" s="16"/>
      <c r="BQ211" s="16"/>
      <c r="BR211" s="9" t="s">
        <v>2729</v>
      </c>
      <c r="BS211" s="9" t="s">
        <v>2732</v>
      </c>
      <c r="BT211" s="9" t="s">
        <v>2733</v>
      </c>
      <c r="BU211" s="9" t="s">
        <v>1859</v>
      </c>
      <c r="BV211" s="9"/>
      <c r="BW211" s="10"/>
      <c r="BX211" s="15" t="s">
        <v>1255</v>
      </c>
      <c r="BY211" s="10"/>
      <c r="BZ211" s="10"/>
      <c r="CA211" s="10"/>
      <c r="CC211" s="9" t="s">
        <v>308</v>
      </c>
      <c r="CD211" s="9" t="s">
        <v>309</v>
      </c>
    </row>
    <row r="212" spans="1:82">
      <c r="A212" s="8">
        <v>58167</v>
      </c>
      <c r="B212" s="9" t="s">
        <v>2734</v>
      </c>
      <c r="C212" s="9" t="s">
        <v>970</v>
      </c>
      <c r="D212" s="10">
        <v>45575</v>
      </c>
      <c r="E212" s="9" t="s">
        <v>2735</v>
      </c>
      <c r="F212" s="9" t="s">
        <v>1859</v>
      </c>
      <c r="G212" s="9" t="s">
        <v>2736</v>
      </c>
      <c r="H212" s="9" t="s">
        <v>281</v>
      </c>
      <c r="I212" s="9" t="s">
        <v>282</v>
      </c>
      <c r="J212" s="9" t="s">
        <v>283</v>
      </c>
      <c r="K212" s="9" t="s">
        <v>284</v>
      </c>
      <c r="L212" s="9" t="s">
        <v>2737</v>
      </c>
      <c r="M212" s="9" t="s">
        <v>2738</v>
      </c>
      <c r="N212" s="8">
        <v>1</v>
      </c>
      <c r="O212" s="9" t="s">
        <v>2739</v>
      </c>
      <c r="P212" s="11">
        <v>206.4</v>
      </c>
      <c r="Q212" s="11">
        <v>165</v>
      </c>
      <c r="R212" s="11">
        <v>160</v>
      </c>
      <c r="S212" s="11">
        <v>1188.0899999999999</v>
      </c>
      <c r="T212" s="11">
        <v>245221.77600000001</v>
      </c>
      <c r="U212" s="12">
        <v>5.3999999999999999E-2</v>
      </c>
      <c r="V212" s="12">
        <v>0.85799999999999998</v>
      </c>
      <c r="W212" s="11">
        <v>1193.7</v>
      </c>
      <c r="X212" s="9" t="s">
        <v>288</v>
      </c>
      <c r="Y212" s="10">
        <v>44991</v>
      </c>
      <c r="Z212" s="13">
        <v>0.13120000000000001</v>
      </c>
      <c r="AC212" s="9" t="s">
        <v>289</v>
      </c>
      <c r="AD212" s="9" t="s">
        <v>290</v>
      </c>
      <c r="AE212" s="8">
        <v>968.54399999999998</v>
      </c>
      <c r="AF212" s="14">
        <v>43.021090000000001</v>
      </c>
      <c r="AG212" s="14">
        <v>1.92998</v>
      </c>
      <c r="AH212" s="9" t="s">
        <v>483</v>
      </c>
      <c r="AI212" s="15" t="s">
        <v>396</v>
      </c>
      <c r="AJ212" s="9" t="s">
        <v>293</v>
      </c>
      <c r="AK212" s="9" t="s">
        <v>2740</v>
      </c>
      <c r="AL212" s="9" t="s">
        <v>2741</v>
      </c>
      <c r="AM212" s="9"/>
      <c r="AN212" s="9" t="s">
        <v>2742</v>
      </c>
      <c r="AO212" s="9"/>
      <c r="AP212" s="9" t="s">
        <v>113</v>
      </c>
      <c r="AQ212" s="9" t="s">
        <v>298</v>
      </c>
      <c r="AR212" t="b">
        <v>0</v>
      </c>
      <c r="AS212" s="10"/>
      <c r="AT212" s="10" t="s">
        <v>299</v>
      </c>
      <c r="AU212" s="9"/>
      <c r="AV212" t="b">
        <v>0</v>
      </c>
      <c r="AW212" s="12"/>
      <c r="AX212" s="11"/>
      <c r="AY212" s="9"/>
      <c r="AZ212" t="b">
        <v>0</v>
      </c>
      <c r="BA212" s="9"/>
      <c r="BB212" s="12"/>
      <c r="BC212" s="11"/>
      <c r="BD212" s="9" t="s">
        <v>325</v>
      </c>
      <c r="BE212" s="9" t="s">
        <v>301</v>
      </c>
      <c r="BF212" s="9" t="s">
        <v>702</v>
      </c>
      <c r="BG212" s="9" t="s">
        <v>738</v>
      </c>
      <c r="BH212" s="9" t="s">
        <v>304</v>
      </c>
      <c r="BI212" s="9" t="s">
        <v>981</v>
      </c>
      <c r="BJ212" s="9" t="s">
        <v>982</v>
      </c>
      <c r="BK212" s="11">
        <v>856</v>
      </c>
      <c r="BL212" s="16">
        <v>140.84880000000001</v>
      </c>
      <c r="BM212" s="10">
        <v>45627</v>
      </c>
      <c r="BN212" s="10">
        <v>45734</v>
      </c>
      <c r="BO212" s="10"/>
      <c r="BP212" s="16"/>
      <c r="BQ212" s="16"/>
      <c r="BR212" s="9" t="s">
        <v>2743</v>
      </c>
      <c r="BS212" s="9" t="s">
        <v>2744</v>
      </c>
      <c r="BT212" s="9" t="s">
        <v>2745</v>
      </c>
      <c r="BU212" s="9" t="s">
        <v>2746</v>
      </c>
      <c r="BV212" s="9"/>
      <c r="BW212" s="10"/>
      <c r="BX212" s="15" t="s">
        <v>2747</v>
      </c>
      <c r="BY212" s="10"/>
      <c r="BZ212" s="10"/>
      <c r="CA212" s="10"/>
      <c r="CC212" s="9" t="s">
        <v>308</v>
      </c>
      <c r="CD212" s="9" t="s">
        <v>309</v>
      </c>
    </row>
    <row r="213" spans="1:82">
      <c r="A213" s="8">
        <v>90846</v>
      </c>
      <c r="B213" s="9" t="s">
        <v>2748</v>
      </c>
      <c r="C213" s="9" t="s">
        <v>1257</v>
      </c>
      <c r="D213" s="10">
        <v>45574</v>
      </c>
      <c r="E213" s="9" t="s">
        <v>2749</v>
      </c>
      <c r="F213" s="9" t="s">
        <v>2750</v>
      </c>
      <c r="G213" s="9" t="s">
        <v>695</v>
      </c>
      <c r="H213" s="9" t="s">
        <v>2751</v>
      </c>
      <c r="I213" s="9" t="s">
        <v>282</v>
      </c>
      <c r="J213" s="9" t="s">
        <v>719</v>
      </c>
      <c r="K213" s="9" t="s">
        <v>284</v>
      </c>
      <c r="L213" s="9" t="s">
        <v>2752</v>
      </c>
      <c r="M213" s="9" t="s">
        <v>2753</v>
      </c>
      <c r="N213" s="8">
        <v>2</v>
      </c>
      <c r="O213" s="9" t="s">
        <v>2754</v>
      </c>
      <c r="P213" s="11">
        <v>494.5</v>
      </c>
      <c r="Q213" s="11">
        <v>415</v>
      </c>
      <c r="R213" s="11">
        <v>372.1</v>
      </c>
      <c r="S213" s="11">
        <v>1452.33</v>
      </c>
      <c r="T213" s="11">
        <v>718177.18500000006</v>
      </c>
      <c r="U213" s="12">
        <v>5.3999999999999999E-2</v>
      </c>
      <c r="V213" s="12">
        <v>0.85399999999999998</v>
      </c>
      <c r="W213" s="11">
        <v>1438.9</v>
      </c>
      <c r="X213" s="9" t="s">
        <v>288</v>
      </c>
      <c r="Y213" s="10">
        <v>44784</v>
      </c>
      <c r="Z213" s="13">
        <v>0.13120000000000001</v>
      </c>
      <c r="AC213" s="9" t="s">
        <v>289</v>
      </c>
      <c r="AD213" s="9" t="s">
        <v>290</v>
      </c>
      <c r="AE213" s="8">
        <v>2320.4899999999998</v>
      </c>
      <c r="AF213" s="14">
        <v>43.293219999999998</v>
      </c>
      <c r="AG213" s="14">
        <v>2.6880899999999999</v>
      </c>
      <c r="AH213" s="9" t="s">
        <v>483</v>
      </c>
      <c r="AI213" s="15" t="s">
        <v>1591</v>
      </c>
      <c r="AJ213" s="9" t="s">
        <v>293</v>
      </c>
      <c r="AK213" s="9" t="s">
        <v>2755</v>
      </c>
      <c r="AL213" s="9" t="s">
        <v>2756</v>
      </c>
      <c r="AM213" s="9" t="s">
        <v>2757</v>
      </c>
      <c r="AN213" s="9" t="s">
        <v>2758</v>
      </c>
      <c r="AO213" s="9" t="s">
        <v>2759</v>
      </c>
      <c r="AP213" s="9" t="s">
        <v>2760</v>
      </c>
      <c r="AQ213" s="9" t="s">
        <v>298</v>
      </c>
      <c r="AR213" t="b">
        <v>0</v>
      </c>
      <c r="AS213" s="10"/>
      <c r="AT213" s="10" t="s">
        <v>299</v>
      </c>
      <c r="AU213" s="9" t="s">
        <v>2761</v>
      </c>
      <c r="AV213" t="b">
        <v>0</v>
      </c>
      <c r="AW213" s="12"/>
      <c r="AX213" s="11"/>
      <c r="AY213" s="9"/>
      <c r="AZ213" t="b">
        <v>1</v>
      </c>
      <c r="BA213" s="9"/>
      <c r="BB213" s="12"/>
      <c r="BC213" s="11"/>
      <c r="BD213" s="9" t="s">
        <v>325</v>
      </c>
      <c r="BE213" s="9" t="s">
        <v>47</v>
      </c>
      <c r="BF213" s="9" t="s">
        <v>356</v>
      </c>
      <c r="BG213" s="9" t="s">
        <v>738</v>
      </c>
      <c r="BH213" s="9" t="s">
        <v>304</v>
      </c>
      <c r="BI213" s="9" t="s">
        <v>1267</v>
      </c>
      <c r="BJ213" s="9" t="s">
        <v>1268</v>
      </c>
      <c r="BK213" s="11">
        <v>856</v>
      </c>
      <c r="BL213" s="16">
        <v>246.58150000000001</v>
      </c>
      <c r="BM213" s="10">
        <v>45650</v>
      </c>
      <c r="BN213" s="10">
        <v>45798</v>
      </c>
      <c r="BO213" s="10"/>
      <c r="BP213" s="16"/>
      <c r="BQ213" s="16"/>
      <c r="BR213" s="9"/>
      <c r="BS213" s="9"/>
      <c r="BT213" s="9"/>
      <c r="BU213" s="9"/>
      <c r="BV213" s="9"/>
      <c r="BW213" s="10"/>
      <c r="BX213" s="15" t="s">
        <v>1126</v>
      </c>
      <c r="BY213" s="10"/>
      <c r="BZ213" s="10"/>
      <c r="CA213" s="10"/>
      <c r="CC213" s="9" t="s">
        <v>308</v>
      </c>
      <c r="CD213" s="9" t="s">
        <v>309</v>
      </c>
    </row>
    <row r="214" spans="1:82" ht="57.95">
      <c r="A214" s="8">
        <v>79631</v>
      </c>
      <c r="B214" s="9" t="s">
        <v>2762</v>
      </c>
      <c r="C214" s="9" t="s">
        <v>970</v>
      </c>
      <c r="D214" s="10">
        <v>45574</v>
      </c>
      <c r="E214" s="9" t="s">
        <v>2763</v>
      </c>
      <c r="F214" s="9" t="s">
        <v>2764</v>
      </c>
      <c r="G214" s="9" t="s">
        <v>2765</v>
      </c>
      <c r="H214" s="9" t="s">
        <v>315</v>
      </c>
      <c r="I214" s="9" t="s">
        <v>282</v>
      </c>
      <c r="J214" s="9" t="s">
        <v>283</v>
      </c>
      <c r="K214" s="9" t="s">
        <v>284</v>
      </c>
      <c r="L214" s="9" t="s">
        <v>2766</v>
      </c>
      <c r="M214" s="9" t="s">
        <v>2767</v>
      </c>
      <c r="N214" s="8">
        <v>1</v>
      </c>
      <c r="O214" s="9" t="s">
        <v>2768</v>
      </c>
      <c r="P214" s="11">
        <v>195.8</v>
      </c>
      <c r="Q214" s="11">
        <v>220</v>
      </c>
      <c r="R214" s="11">
        <v>155.19999999999999</v>
      </c>
      <c r="S214" s="11">
        <v>1397</v>
      </c>
      <c r="T214" s="11">
        <v>273532.59999999998</v>
      </c>
      <c r="U214" s="12">
        <v>5.3999999999999999E-2</v>
      </c>
      <c r="V214" s="12">
        <v>0.85199999999999998</v>
      </c>
      <c r="W214" s="11">
        <v>1497.7</v>
      </c>
      <c r="X214" s="9" t="s">
        <v>288</v>
      </c>
      <c r="Y214" s="10">
        <v>45027</v>
      </c>
      <c r="Z214" s="13">
        <v>0.13120000000000001</v>
      </c>
      <c r="AC214" s="9" t="s">
        <v>289</v>
      </c>
      <c r="AD214" s="9" t="s">
        <v>290</v>
      </c>
      <c r="AE214" s="8">
        <v>879.16751999999997</v>
      </c>
      <c r="AF214" s="14">
        <v>44.132750000000001</v>
      </c>
      <c r="AG214" s="14">
        <v>6.2544899999999997</v>
      </c>
      <c r="AH214" s="9" t="s">
        <v>483</v>
      </c>
      <c r="AI214" s="15" t="s">
        <v>2769</v>
      </c>
      <c r="AJ214" s="9" t="s">
        <v>293</v>
      </c>
      <c r="AK214" s="9" t="s">
        <v>2770</v>
      </c>
      <c r="AL214" s="9" t="s">
        <v>2771</v>
      </c>
      <c r="AM214" s="9"/>
      <c r="AN214" s="9" t="s">
        <v>2772</v>
      </c>
      <c r="AO214" s="9"/>
      <c r="AP214" s="9" t="s">
        <v>139</v>
      </c>
      <c r="AQ214" s="9" t="s">
        <v>1212</v>
      </c>
      <c r="AR214" t="b">
        <v>1</v>
      </c>
      <c r="AS214" s="10">
        <v>45657</v>
      </c>
      <c r="AT214" s="10">
        <v>46022</v>
      </c>
      <c r="AU214" s="9" t="s">
        <v>612</v>
      </c>
      <c r="AV214" t="b">
        <v>0</v>
      </c>
      <c r="AW214" s="12"/>
      <c r="AX214" s="11">
        <v>3750</v>
      </c>
      <c r="AY214" s="9"/>
      <c r="AZ214" t="b">
        <v>0</v>
      </c>
      <c r="BA214" s="9"/>
      <c r="BB214" s="12"/>
      <c r="BC214" s="11"/>
      <c r="BD214" s="9" t="s">
        <v>300</v>
      </c>
      <c r="BE214" s="9" t="s">
        <v>301</v>
      </c>
      <c r="BF214" s="9" t="s">
        <v>302</v>
      </c>
      <c r="BG214" s="9" t="s">
        <v>967</v>
      </c>
      <c r="BH214" s="9" t="s">
        <v>304</v>
      </c>
      <c r="BI214" s="9" t="s">
        <v>981</v>
      </c>
      <c r="BJ214" s="9" t="s">
        <v>982</v>
      </c>
      <c r="BK214" s="11">
        <v>856</v>
      </c>
      <c r="BL214" s="16">
        <v>136.95859999999999</v>
      </c>
      <c r="BM214" s="10">
        <v>45604</v>
      </c>
      <c r="BN214" s="10">
        <v>45776</v>
      </c>
      <c r="BO214" s="10"/>
      <c r="BP214" s="16"/>
      <c r="BQ214" s="16"/>
      <c r="BR214" s="9" t="s">
        <v>2773</v>
      </c>
      <c r="BS214" s="9" t="s">
        <v>2774</v>
      </c>
      <c r="BT214" s="9" t="s">
        <v>2765</v>
      </c>
      <c r="BU214" s="9" t="s">
        <v>2764</v>
      </c>
      <c r="BV214" s="9"/>
      <c r="BW214" s="10"/>
      <c r="BX214" s="15" t="s">
        <v>1155</v>
      </c>
      <c r="BY214" s="10"/>
      <c r="BZ214" s="10"/>
      <c r="CA214" s="10"/>
      <c r="CC214" s="9" t="s">
        <v>308</v>
      </c>
      <c r="CD214" s="9" t="s">
        <v>309</v>
      </c>
    </row>
    <row r="215" spans="1:82">
      <c r="A215" s="8">
        <v>28182</v>
      </c>
      <c r="B215" s="9" t="s">
        <v>2775</v>
      </c>
      <c r="C215" s="9" t="s">
        <v>1257</v>
      </c>
      <c r="D215" s="10">
        <v>45568</v>
      </c>
      <c r="E215" s="9" t="s">
        <v>2776</v>
      </c>
      <c r="F215" s="9" t="s">
        <v>2777</v>
      </c>
      <c r="G215" s="9" t="s">
        <v>2778</v>
      </c>
      <c r="H215" s="9" t="s">
        <v>281</v>
      </c>
      <c r="I215" s="9" t="s">
        <v>282</v>
      </c>
      <c r="J215" s="9" t="s">
        <v>283</v>
      </c>
      <c r="K215" s="9" t="s">
        <v>284</v>
      </c>
      <c r="L215" s="9" t="s">
        <v>2779</v>
      </c>
      <c r="M215" s="9" t="s">
        <v>2780</v>
      </c>
      <c r="N215" s="8">
        <v>1</v>
      </c>
      <c r="O215" s="9" t="s">
        <v>2781</v>
      </c>
      <c r="P215" s="11">
        <v>138.84</v>
      </c>
      <c r="Q215" s="11">
        <v>125</v>
      </c>
      <c r="R215" s="11">
        <v>116</v>
      </c>
      <c r="S215" s="11">
        <v>1177</v>
      </c>
      <c r="T215" s="11">
        <v>163414.68</v>
      </c>
      <c r="U215" s="12">
        <v>5.3999999999999999E-2</v>
      </c>
      <c r="V215" s="12">
        <v>0.85299999999999998</v>
      </c>
      <c r="W215" s="11">
        <v>1141.8</v>
      </c>
      <c r="X215" s="9" t="s">
        <v>288</v>
      </c>
      <c r="Y215" s="10">
        <v>45019</v>
      </c>
      <c r="Z215" s="13">
        <v>0.13120000000000001</v>
      </c>
      <c r="AC215" s="9" t="s">
        <v>289</v>
      </c>
      <c r="AD215" s="9" t="s">
        <v>290</v>
      </c>
      <c r="AE215" s="8">
        <v>623.41</v>
      </c>
      <c r="AF215" s="14">
        <v>45.3187</v>
      </c>
      <c r="AG215" s="14">
        <v>5.5279299999999996</v>
      </c>
      <c r="AH215" s="9" t="s">
        <v>483</v>
      </c>
      <c r="AI215" s="15" t="s">
        <v>396</v>
      </c>
      <c r="AJ215" s="9" t="s">
        <v>293</v>
      </c>
      <c r="AK215" s="9" t="s">
        <v>2782</v>
      </c>
      <c r="AL215" s="9" t="s">
        <v>2783</v>
      </c>
      <c r="AM215" s="9" t="s">
        <v>2784</v>
      </c>
      <c r="AN215" s="9" t="s">
        <v>2785</v>
      </c>
      <c r="AO215" s="9"/>
      <c r="AP215" s="9" t="s">
        <v>108</v>
      </c>
      <c r="AQ215" s="9" t="s">
        <v>372</v>
      </c>
      <c r="AR215" t="b">
        <v>0</v>
      </c>
      <c r="AS215" s="10"/>
      <c r="AT215" s="10" t="s">
        <v>299</v>
      </c>
      <c r="AU215" s="9"/>
      <c r="AV215" t="b">
        <v>0</v>
      </c>
      <c r="AW215" s="12"/>
      <c r="AX215" s="11"/>
      <c r="AY215" s="9"/>
      <c r="AZ215" t="b">
        <v>0</v>
      </c>
      <c r="BA215" s="9"/>
      <c r="BB215" s="12"/>
      <c r="BC215" s="11"/>
      <c r="BD215" s="9" t="s">
        <v>300</v>
      </c>
      <c r="BE215" s="9" t="s">
        <v>47</v>
      </c>
      <c r="BF215" s="9" t="s">
        <v>690</v>
      </c>
      <c r="BG215" s="9" t="s">
        <v>303</v>
      </c>
      <c r="BH215" s="9" t="s">
        <v>304</v>
      </c>
      <c r="BI215" s="9" t="s">
        <v>1267</v>
      </c>
      <c r="BJ215" s="9" t="s">
        <v>1268</v>
      </c>
      <c r="BK215" s="11">
        <v>856</v>
      </c>
      <c r="BL215" s="16">
        <v>116.05428000000001</v>
      </c>
      <c r="BM215" s="10">
        <v>45584</v>
      </c>
      <c r="BN215" s="10">
        <v>45727</v>
      </c>
      <c r="BO215" s="10"/>
      <c r="BP215" s="16"/>
      <c r="BQ215" s="16"/>
      <c r="BR215" s="9"/>
      <c r="BS215" s="9"/>
      <c r="BT215" s="9"/>
      <c r="BU215" s="9"/>
      <c r="BV215" s="9"/>
      <c r="BW215" s="10"/>
      <c r="BX215" s="15" t="s">
        <v>2786</v>
      </c>
      <c r="BY215" s="10"/>
      <c r="BZ215" s="10"/>
      <c r="CA215" s="10"/>
      <c r="CC215" s="9" t="s">
        <v>308</v>
      </c>
      <c r="CD215" s="9" t="s">
        <v>309</v>
      </c>
    </row>
    <row r="216" spans="1:82">
      <c r="A216" s="8">
        <v>82073</v>
      </c>
      <c r="B216" s="9" t="s">
        <v>2787</v>
      </c>
      <c r="C216" s="9" t="s">
        <v>970</v>
      </c>
      <c r="D216" s="10">
        <v>45568</v>
      </c>
      <c r="E216" s="9" t="s">
        <v>2788</v>
      </c>
      <c r="F216" s="9" t="s">
        <v>1188</v>
      </c>
      <c r="G216" s="9" t="s">
        <v>2789</v>
      </c>
      <c r="H216" s="9" t="s">
        <v>281</v>
      </c>
      <c r="I216" s="9" t="s">
        <v>282</v>
      </c>
      <c r="J216" s="9" t="s">
        <v>283</v>
      </c>
      <c r="K216" s="9" t="s">
        <v>284</v>
      </c>
      <c r="L216" s="9" t="s">
        <v>2790</v>
      </c>
      <c r="M216" s="9" t="s">
        <v>2791</v>
      </c>
      <c r="N216" s="8">
        <v>1</v>
      </c>
      <c r="O216" s="9" t="s">
        <v>2792</v>
      </c>
      <c r="P216" s="11">
        <v>258</v>
      </c>
      <c r="Q216" s="11">
        <v>220</v>
      </c>
      <c r="R216" s="11">
        <v>210</v>
      </c>
      <c r="S216" s="11">
        <v>1214</v>
      </c>
      <c r="T216" s="11">
        <v>313212</v>
      </c>
      <c r="U216" s="12">
        <v>5.3999999999999999E-2</v>
      </c>
      <c r="V216" s="12">
        <v>0.85699999999999998</v>
      </c>
      <c r="W216" s="11">
        <v>1173.5999999999999</v>
      </c>
      <c r="X216" s="9" t="s">
        <v>288</v>
      </c>
      <c r="Y216" s="10">
        <v>44712</v>
      </c>
      <c r="Z216" s="13">
        <v>0.12870000000000001</v>
      </c>
      <c r="AC216" s="9" t="s">
        <v>289</v>
      </c>
      <c r="AD216" s="9" t="s">
        <v>290</v>
      </c>
      <c r="AE216" s="8">
        <v>1167.5160000000001</v>
      </c>
      <c r="AF216" s="14">
        <v>43.953290000000003</v>
      </c>
      <c r="AG216" s="14">
        <v>2.58188</v>
      </c>
      <c r="AH216" s="9" t="s">
        <v>483</v>
      </c>
      <c r="AI216" s="15" t="s">
        <v>319</v>
      </c>
      <c r="AJ216" s="9" t="s">
        <v>293</v>
      </c>
      <c r="AK216" s="9" t="s">
        <v>2793</v>
      </c>
      <c r="AL216" s="9" t="s">
        <v>2794</v>
      </c>
      <c r="AM216" s="9"/>
      <c r="AN216" s="9" t="s">
        <v>2795</v>
      </c>
      <c r="AO216" s="9"/>
      <c r="AP216" s="9" t="s">
        <v>43</v>
      </c>
      <c r="AQ216" s="9" t="s">
        <v>847</v>
      </c>
      <c r="AR216" t="b">
        <v>0</v>
      </c>
      <c r="AS216" s="10"/>
      <c r="AT216" s="10" t="s">
        <v>299</v>
      </c>
      <c r="AU216" s="9"/>
      <c r="AV216" t="b">
        <v>0</v>
      </c>
      <c r="AW216" s="12"/>
      <c r="AX216" s="11"/>
      <c r="AY216" s="9"/>
      <c r="AZ216" t="b">
        <v>0</v>
      </c>
      <c r="BA216" s="9"/>
      <c r="BB216" s="12"/>
      <c r="BC216" s="11"/>
      <c r="BD216" s="9" t="s">
        <v>325</v>
      </c>
      <c r="BE216" s="9" t="s">
        <v>301</v>
      </c>
      <c r="BF216" s="9" t="s">
        <v>356</v>
      </c>
      <c r="BG216" s="9" t="s">
        <v>738</v>
      </c>
      <c r="BH216" s="9" t="s">
        <v>304</v>
      </c>
      <c r="BI216" s="9" t="s">
        <v>981</v>
      </c>
      <c r="BJ216" s="9" t="s">
        <v>982</v>
      </c>
      <c r="BK216" s="11">
        <v>856</v>
      </c>
      <c r="BL216" s="16">
        <v>159.786</v>
      </c>
      <c r="BM216" s="10">
        <v>45629</v>
      </c>
      <c r="BN216" s="10">
        <v>45747</v>
      </c>
      <c r="BO216" s="10"/>
      <c r="BP216" s="16"/>
      <c r="BQ216" s="16"/>
      <c r="BR216" s="9" t="s">
        <v>2796</v>
      </c>
      <c r="BS216" s="9" t="s">
        <v>2797</v>
      </c>
      <c r="BT216" s="9" t="s">
        <v>2789</v>
      </c>
      <c r="BU216" s="9" t="s">
        <v>1188</v>
      </c>
      <c r="BV216" s="9"/>
      <c r="BW216" s="10"/>
      <c r="BX216" s="15" t="s">
        <v>2798</v>
      </c>
      <c r="BY216" s="10"/>
      <c r="BZ216" s="10"/>
      <c r="CA216" s="10"/>
      <c r="CC216" s="9" t="s">
        <v>308</v>
      </c>
      <c r="CD216" s="9" t="s">
        <v>309</v>
      </c>
    </row>
    <row r="217" spans="1:82">
      <c r="A217" s="8">
        <v>41462</v>
      </c>
      <c r="B217" s="9" t="s">
        <v>2799</v>
      </c>
      <c r="C217" s="9" t="s">
        <v>970</v>
      </c>
      <c r="D217" s="10">
        <v>45568</v>
      </c>
      <c r="E217" s="9" t="s">
        <v>2800</v>
      </c>
      <c r="F217" s="9" t="s">
        <v>2801</v>
      </c>
      <c r="G217" s="9" t="s">
        <v>2802</v>
      </c>
      <c r="H217" s="9" t="s">
        <v>281</v>
      </c>
      <c r="I217" s="9" t="s">
        <v>282</v>
      </c>
      <c r="J217" s="9" t="s">
        <v>283</v>
      </c>
      <c r="K217" s="9" t="s">
        <v>284</v>
      </c>
      <c r="L217" s="9" t="s">
        <v>2803</v>
      </c>
      <c r="M217" s="9" t="s">
        <v>2804</v>
      </c>
      <c r="N217" s="8">
        <v>1</v>
      </c>
      <c r="O217" s="9" t="s">
        <v>2805</v>
      </c>
      <c r="P217" s="11">
        <v>279.5</v>
      </c>
      <c r="Q217" s="11">
        <v>220</v>
      </c>
      <c r="R217" s="11">
        <v>219</v>
      </c>
      <c r="S217" s="11">
        <v>1108</v>
      </c>
      <c r="T217" s="11">
        <v>309686</v>
      </c>
      <c r="U217" s="12">
        <v>5.3999999999999999E-2</v>
      </c>
      <c r="V217" s="12">
        <v>0.86599999999999999</v>
      </c>
      <c r="W217" s="11">
        <v>1110.5999999999999</v>
      </c>
      <c r="X217" s="9" t="s">
        <v>288</v>
      </c>
      <c r="Y217" s="10">
        <v>44980</v>
      </c>
      <c r="Z217" s="13">
        <v>0.13120000000000001</v>
      </c>
      <c r="AC217" s="9" t="s">
        <v>289</v>
      </c>
      <c r="AD217" s="9" t="s">
        <v>290</v>
      </c>
      <c r="AE217" s="8">
        <v>1311.57</v>
      </c>
      <c r="AF217" s="14">
        <v>45.810549999999999</v>
      </c>
      <c r="AG217" s="14">
        <v>3.9565700000000001</v>
      </c>
      <c r="AH217" s="9" t="s">
        <v>483</v>
      </c>
      <c r="AI217" s="15" t="s">
        <v>396</v>
      </c>
      <c r="AJ217" s="9" t="s">
        <v>293</v>
      </c>
      <c r="AK217" s="9" t="s">
        <v>2806</v>
      </c>
      <c r="AL217" s="9" t="s">
        <v>2807</v>
      </c>
      <c r="AM217" s="9"/>
      <c r="AN217" s="9" t="s">
        <v>2808</v>
      </c>
      <c r="AO217" s="9"/>
      <c r="AP217" s="9" t="s">
        <v>43</v>
      </c>
      <c r="AQ217" s="9" t="s">
        <v>847</v>
      </c>
      <c r="AR217" t="b">
        <v>0</v>
      </c>
      <c r="AS217" s="10"/>
      <c r="AT217" s="10" t="s">
        <v>299</v>
      </c>
      <c r="AU217" s="9"/>
      <c r="AV217" t="b">
        <v>0</v>
      </c>
      <c r="AW217" s="12"/>
      <c r="AX217" s="11"/>
      <c r="AY217" s="9"/>
      <c r="AZ217" t="b">
        <v>0</v>
      </c>
      <c r="BA217" s="9"/>
      <c r="BB217" s="12"/>
      <c r="BC217" s="11"/>
      <c r="BD217" s="9" t="s">
        <v>300</v>
      </c>
      <c r="BE217" s="9" t="s">
        <v>301</v>
      </c>
      <c r="BF217" s="9" t="s">
        <v>302</v>
      </c>
      <c r="BG217" s="9" t="s">
        <v>303</v>
      </c>
      <c r="BH217" s="9" t="s">
        <v>304</v>
      </c>
      <c r="BI217" s="9" t="s">
        <v>981</v>
      </c>
      <c r="BJ217" s="9" t="s">
        <v>982</v>
      </c>
      <c r="BK217" s="11">
        <v>856</v>
      </c>
      <c r="BL217" s="16">
        <v>167.6765</v>
      </c>
      <c r="BM217" s="10">
        <v>45614</v>
      </c>
      <c r="BN217" s="10">
        <v>45765</v>
      </c>
      <c r="BO217" s="10"/>
      <c r="BP217" s="16"/>
      <c r="BQ217" s="16"/>
      <c r="BR217" s="9" t="s">
        <v>2809</v>
      </c>
      <c r="BS217" s="9" t="s">
        <v>2810</v>
      </c>
      <c r="BT217" s="9" t="s">
        <v>2802</v>
      </c>
      <c r="BU217" s="9" t="s">
        <v>2801</v>
      </c>
      <c r="BV217" s="9"/>
      <c r="BW217" s="10"/>
      <c r="BX217" s="15" t="s">
        <v>1290</v>
      </c>
      <c r="BY217" s="10"/>
      <c r="BZ217" s="10"/>
      <c r="CA217" s="10"/>
      <c r="CC217" s="9" t="s">
        <v>308</v>
      </c>
      <c r="CD217" s="9" t="s">
        <v>309</v>
      </c>
    </row>
    <row r="218" spans="1:82" ht="29.1">
      <c r="A218" s="8">
        <v>17996</v>
      </c>
      <c r="B218" s="9" t="s">
        <v>2811</v>
      </c>
      <c r="C218" s="9" t="s">
        <v>475</v>
      </c>
      <c r="D218" s="10">
        <v>45567</v>
      </c>
      <c r="E218" s="9" t="s">
        <v>2812</v>
      </c>
      <c r="F218" s="9" t="s">
        <v>2813</v>
      </c>
      <c r="G218" s="9" t="s">
        <v>2814</v>
      </c>
      <c r="H218" s="9" t="s">
        <v>315</v>
      </c>
      <c r="I218" s="9" t="s">
        <v>282</v>
      </c>
      <c r="J218" s="9" t="s">
        <v>283</v>
      </c>
      <c r="K218" s="9" t="s">
        <v>284</v>
      </c>
      <c r="L218" s="9" t="s">
        <v>2815</v>
      </c>
      <c r="M218" s="9" t="s">
        <v>2816</v>
      </c>
      <c r="N218" s="8">
        <v>1</v>
      </c>
      <c r="O218" s="9" t="s">
        <v>2817</v>
      </c>
      <c r="P218" s="11">
        <v>256.05500000000001</v>
      </c>
      <c r="Q218" s="11">
        <v>220</v>
      </c>
      <c r="R218" s="11">
        <v>182</v>
      </c>
      <c r="S218" s="11">
        <v>1159.71</v>
      </c>
      <c r="T218" s="11">
        <v>296949.54405000003</v>
      </c>
      <c r="U218" s="12">
        <v>5.2999999999999999E-2</v>
      </c>
      <c r="V218" s="12">
        <v>0.84899999999999998</v>
      </c>
      <c r="W218" s="11">
        <v>1152.0999999999999</v>
      </c>
      <c r="X218" s="9" t="s">
        <v>288</v>
      </c>
      <c r="Y218" s="10">
        <v>44532</v>
      </c>
      <c r="Z218" s="13">
        <v>0.12280000000000001</v>
      </c>
      <c r="AC218" s="9" t="s">
        <v>289</v>
      </c>
      <c r="AD218" s="9" t="s">
        <v>290</v>
      </c>
      <c r="AE218" s="8">
        <v>1195.0500199999999</v>
      </c>
      <c r="AF218" s="14">
        <v>45.535339999999998</v>
      </c>
      <c r="AG218" s="14">
        <v>5.4522899999999996</v>
      </c>
      <c r="AH218" s="9" t="s">
        <v>483</v>
      </c>
      <c r="AI218" s="15" t="s">
        <v>2818</v>
      </c>
      <c r="AJ218" s="9" t="s">
        <v>293</v>
      </c>
      <c r="AK218" s="9" t="s">
        <v>2819</v>
      </c>
      <c r="AL218" s="9" t="s">
        <v>2820</v>
      </c>
      <c r="AM218" s="9"/>
      <c r="AN218" s="9" t="s">
        <v>2821</v>
      </c>
      <c r="AO218" s="9"/>
      <c r="AP218" s="9" t="s">
        <v>68</v>
      </c>
      <c r="AQ218" s="9" t="s">
        <v>298</v>
      </c>
      <c r="AR218" t="b">
        <v>1</v>
      </c>
      <c r="AS218" s="10">
        <v>45657</v>
      </c>
      <c r="AT218" s="10">
        <v>46022</v>
      </c>
      <c r="AU218" s="9" t="s">
        <v>1139</v>
      </c>
      <c r="AV218" t="b">
        <v>1</v>
      </c>
      <c r="AW218" s="12"/>
      <c r="AX218" s="11">
        <v>1500</v>
      </c>
      <c r="AY218" s="9" t="s">
        <v>471</v>
      </c>
      <c r="AZ218" t="b">
        <v>1</v>
      </c>
      <c r="BA218" s="9" t="s">
        <v>472</v>
      </c>
      <c r="BB218" s="12"/>
      <c r="BC218" s="11">
        <v>1500</v>
      </c>
      <c r="BD218" s="9" t="s">
        <v>300</v>
      </c>
      <c r="BE218" s="9" t="s">
        <v>47</v>
      </c>
      <c r="BF218" s="9" t="s">
        <v>1111</v>
      </c>
      <c r="BG218" s="9" t="s">
        <v>303</v>
      </c>
      <c r="BH218" s="9" t="s">
        <v>304</v>
      </c>
      <c r="BI218" s="9" t="s">
        <v>490</v>
      </c>
      <c r="BJ218" s="9" t="s">
        <v>491</v>
      </c>
      <c r="BK218" s="11">
        <v>856</v>
      </c>
      <c r="BL218" s="16">
        <v>159.07218499999999</v>
      </c>
      <c r="BM218" s="10">
        <v>45584</v>
      </c>
      <c r="BN218" s="10">
        <v>45640</v>
      </c>
      <c r="BO218" s="10"/>
      <c r="BP218" s="16"/>
      <c r="BQ218" s="16"/>
      <c r="BR218" s="9" t="s">
        <v>2822</v>
      </c>
      <c r="BS218" s="9" t="s">
        <v>2812</v>
      </c>
      <c r="BT218" s="9" t="s">
        <v>2814</v>
      </c>
      <c r="BU218" s="9" t="s">
        <v>2813</v>
      </c>
      <c r="BV218" s="9" t="s">
        <v>2823</v>
      </c>
      <c r="BW218" s="10"/>
      <c r="BX218" s="15" t="s">
        <v>2824</v>
      </c>
      <c r="BY218" s="10"/>
      <c r="BZ218" s="10"/>
      <c r="CA218" s="10"/>
      <c r="CC218" s="9" t="s">
        <v>308</v>
      </c>
      <c r="CD218" s="9" t="s">
        <v>309</v>
      </c>
    </row>
    <row r="219" spans="1:82">
      <c r="A219" s="8">
        <v>29323</v>
      </c>
      <c r="B219" s="9" t="s">
        <v>2825</v>
      </c>
      <c r="C219" s="9" t="s">
        <v>1204</v>
      </c>
      <c r="D219" s="10">
        <v>45561</v>
      </c>
      <c r="E219" s="9" t="s">
        <v>2826</v>
      </c>
      <c r="F219" s="9" t="s">
        <v>1103</v>
      </c>
      <c r="G219" s="9" t="s">
        <v>2827</v>
      </c>
      <c r="H219" s="9" t="s">
        <v>281</v>
      </c>
      <c r="I219" s="9" t="s">
        <v>282</v>
      </c>
      <c r="J219" s="9" t="s">
        <v>283</v>
      </c>
      <c r="K219" s="9" t="s">
        <v>284</v>
      </c>
      <c r="L219" s="9" t="s">
        <v>2828</v>
      </c>
      <c r="M219" s="9" t="s">
        <v>2829</v>
      </c>
      <c r="N219" s="8">
        <v>1</v>
      </c>
      <c r="O219" s="9" t="s">
        <v>2830</v>
      </c>
      <c r="P219" s="11">
        <v>195.5</v>
      </c>
      <c r="Q219" s="11">
        <v>165</v>
      </c>
      <c r="R219" s="11">
        <v>167.2</v>
      </c>
      <c r="S219" s="11">
        <v>1206.1400000000001</v>
      </c>
      <c r="T219" s="11">
        <v>235800.37</v>
      </c>
      <c r="U219" s="12">
        <v>5.2999999999999999E-2</v>
      </c>
      <c r="V219" s="12">
        <v>0.85399999999999998</v>
      </c>
      <c r="W219" s="11">
        <v>1184.2</v>
      </c>
      <c r="X219" s="9" t="s">
        <v>288</v>
      </c>
      <c r="Y219" s="10">
        <v>45006</v>
      </c>
      <c r="Z219" s="13">
        <v>0.1313</v>
      </c>
      <c r="AC219" s="9" t="s">
        <v>289</v>
      </c>
      <c r="AD219" s="9" t="s">
        <v>290</v>
      </c>
      <c r="AE219" s="8">
        <v>928.18799999999999</v>
      </c>
      <c r="AF219" s="14">
        <v>45.354390000000002</v>
      </c>
      <c r="AG219" s="14">
        <v>5.0316099999999997</v>
      </c>
      <c r="AH219" s="9" t="s">
        <v>483</v>
      </c>
      <c r="AI219" s="15" t="s">
        <v>396</v>
      </c>
      <c r="AJ219" s="9" t="s">
        <v>293</v>
      </c>
      <c r="AK219" s="9" t="s">
        <v>2831</v>
      </c>
      <c r="AL219" s="9" t="s">
        <v>2832</v>
      </c>
      <c r="AM219" s="9"/>
      <c r="AN219" s="9" t="s">
        <v>2833</v>
      </c>
      <c r="AO219" s="9"/>
      <c r="AP219" s="9" t="s">
        <v>68</v>
      </c>
      <c r="AQ219" s="9" t="s">
        <v>298</v>
      </c>
      <c r="AR219" t="b">
        <v>0</v>
      </c>
      <c r="AS219" s="10"/>
      <c r="AT219" s="10" t="s">
        <v>299</v>
      </c>
      <c r="AU219" s="9"/>
      <c r="AV219" t="b">
        <v>0</v>
      </c>
      <c r="AW219" s="12"/>
      <c r="AX219" s="11"/>
      <c r="AY219" s="9"/>
      <c r="AZ219" t="b">
        <v>0</v>
      </c>
      <c r="BA219" s="9"/>
      <c r="BB219" s="12"/>
      <c r="BC219" s="11"/>
      <c r="BD219" s="9" t="s">
        <v>300</v>
      </c>
      <c r="BE219" s="9" t="s">
        <v>86</v>
      </c>
      <c r="BF219" s="9" t="s">
        <v>302</v>
      </c>
      <c r="BG219" s="9" t="s">
        <v>303</v>
      </c>
      <c r="BH219" s="9" t="s">
        <v>304</v>
      </c>
      <c r="BI219" s="9" t="s">
        <v>1213</v>
      </c>
      <c r="BJ219" s="9" t="s">
        <v>1214</v>
      </c>
      <c r="BK219" s="11">
        <v>856</v>
      </c>
      <c r="BL219" s="16">
        <v>136.8485</v>
      </c>
      <c r="BM219" s="10">
        <v>45577</v>
      </c>
      <c r="BN219" s="10">
        <v>45777</v>
      </c>
      <c r="BO219" s="10"/>
      <c r="BP219" s="16"/>
      <c r="BQ219" s="16"/>
      <c r="BR219" s="9"/>
      <c r="BS219" s="9"/>
      <c r="BT219" s="9"/>
      <c r="BU219" s="9"/>
      <c r="BV219" s="9"/>
      <c r="BW219" s="10"/>
      <c r="BX219" s="15" t="s">
        <v>2834</v>
      </c>
      <c r="BY219" s="10"/>
      <c r="BZ219" s="10"/>
      <c r="CA219" s="10"/>
      <c r="CC219" s="9" t="s">
        <v>308</v>
      </c>
      <c r="CD219" s="9" t="s">
        <v>309</v>
      </c>
    </row>
    <row r="220" spans="1:82">
      <c r="A220" s="8">
        <v>29485</v>
      </c>
      <c r="B220" s="9" t="s">
        <v>2835</v>
      </c>
      <c r="C220" s="9" t="s">
        <v>1257</v>
      </c>
      <c r="D220" s="10">
        <v>45561</v>
      </c>
      <c r="E220" s="9" t="s">
        <v>2836</v>
      </c>
      <c r="F220" s="9" t="s">
        <v>2837</v>
      </c>
      <c r="G220" s="9" t="s">
        <v>2838</v>
      </c>
      <c r="H220" s="9" t="s">
        <v>281</v>
      </c>
      <c r="I220" s="9" t="s">
        <v>282</v>
      </c>
      <c r="J220" s="9" t="s">
        <v>283</v>
      </c>
      <c r="K220" s="9" t="s">
        <v>284</v>
      </c>
      <c r="L220" s="9" t="s">
        <v>2839</v>
      </c>
      <c r="M220" s="9" t="s">
        <v>2840</v>
      </c>
      <c r="N220" s="8">
        <v>1</v>
      </c>
      <c r="O220" s="9" t="s">
        <v>2841</v>
      </c>
      <c r="P220" s="11">
        <v>279.5</v>
      </c>
      <c r="Q220" s="11">
        <v>220</v>
      </c>
      <c r="R220" s="11">
        <v>209</v>
      </c>
      <c r="S220" s="11">
        <v>1164.3599999999999</v>
      </c>
      <c r="T220" s="11">
        <v>325438.62</v>
      </c>
      <c r="U220" s="12">
        <v>5.2999999999999999E-2</v>
      </c>
      <c r="V220" s="12">
        <v>0.85699999999999998</v>
      </c>
      <c r="W220" s="11">
        <v>1139.0999999999999</v>
      </c>
      <c r="X220" s="9" t="s">
        <v>288</v>
      </c>
      <c r="Y220" s="10">
        <v>44704</v>
      </c>
      <c r="Z220" s="13">
        <v>0.13120000000000001</v>
      </c>
      <c r="AC220" s="9" t="s">
        <v>2842</v>
      </c>
      <c r="AD220" s="9" t="s">
        <v>2842</v>
      </c>
      <c r="AE220" s="8">
        <v>1312</v>
      </c>
      <c r="AF220" s="14">
        <v>45.962499999999999</v>
      </c>
      <c r="AG220" s="14">
        <v>4.9761199999999999</v>
      </c>
      <c r="AH220" s="9" t="s">
        <v>483</v>
      </c>
      <c r="AI220" s="15" t="s">
        <v>396</v>
      </c>
      <c r="AJ220" s="9" t="s">
        <v>293</v>
      </c>
      <c r="AK220" s="9" t="s">
        <v>2843</v>
      </c>
      <c r="AL220" s="9" t="s">
        <v>2844</v>
      </c>
      <c r="AM220" s="9"/>
      <c r="AN220" s="9" t="s">
        <v>2845</v>
      </c>
      <c r="AO220" s="9"/>
      <c r="AP220" s="9" t="s">
        <v>43</v>
      </c>
      <c r="AQ220" s="9" t="s">
        <v>847</v>
      </c>
      <c r="AR220" t="b">
        <v>0</v>
      </c>
      <c r="AS220" s="10"/>
      <c r="AT220" s="10" t="s">
        <v>299</v>
      </c>
      <c r="AU220" s="9"/>
      <c r="AV220" t="b">
        <v>0</v>
      </c>
      <c r="AW220" s="12"/>
      <c r="AX220" s="11"/>
      <c r="AY220" s="9"/>
      <c r="AZ220" t="b">
        <v>0</v>
      </c>
      <c r="BA220" s="9"/>
      <c r="BB220" s="12"/>
      <c r="BC220" s="11"/>
      <c r="BD220" s="9" t="s">
        <v>300</v>
      </c>
      <c r="BE220" s="9" t="s">
        <v>47</v>
      </c>
      <c r="BF220" s="9" t="s">
        <v>1111</v>
      </c>
      <c r="BG220" s="9" t="s">
        <v>303</v>
      </c>
      <c r="BH220" s="9" t="s">
        <v>304</v>
      </c>
      <c r="BI220" s="9" t="s">
        <v>1267</v>
      </c>
      <c r="BJ220" s="9" t="s">
        <v>1268</v>
      </c>
      <c r="BK220" s="11">
        <v>856</v>
      </c>
      <c r="BL220" s="16">
        <v>167.6765</v>
      </c>
      <c r="BM220" s="10">
        <v>45577</v>
      </c>
      <c r="BN220" s="10">
        <v>45792</v>
      </c>
      <c r="BO220" s="10"/>
      <c r="BP220" s="16"/>
      <c r="BQ220" s="16"/>
      <c r="BR220" s="9"/>
      <c r="BS220" s="9"/>
      <c r="BT220" s="9"/>
      <c r="BU220" s="9"/>
      <c r="BV220" s="9"/>
      <c r="BW220" s="10"/>
      <c r="BX220" s="15" t="s">
        <v>2846</v>
      </c>
      <c r="BY220" s="10">
        <v>45561</v>
      </c>
      <c r="BZ220" s="10">
        <v>52866</v>
      </c>
      <c r="CA220" s="10">
        <v>45730</v>
      </c>
      <c r="CC220" s="9" t="s">
        <v>308</v>
      </c>
      <c r="CD220" s="9" t="s">
        <v>309</v>
      </c>
    </row>
    <row r="221" spans="1:82" ht="43.5">
      <c r="A221" s="8">
        <v>35893</v>
      </c>
      <c r="B221" s="9" t="s">
        <v>2847</v>
      </c>
      <c r="C221" s="9" t="s">
        <v>475</v>
      </c>
      <c r="D221" s="10">
        <v>45558</v>
      </c>
      <c r="E221" s="9" t="s">
        <v>2848</v>
      </c>
      <c r="F221" s="9" t="s">
        <v>2849</v>
      </c>
      <c r="G221" s="9" t="s">
        <v>2850</v>
      </c>
      <c r="H221" s="9" t="s">
        <v>281</v>
      </c>
      <c r="I221" s="9" t="s">
        <v>282</v>
      </c>
      <c r="J221" s="9" t="s">
        <v>283</v>
      </c>
      <c r="K221" s="9" t="s">
        <v>284</v>
      </c>
      <c r="L221" s="9" t="s">
        <v>2851</v>
      </c>
      <c r="M221" s="9" t="s">
        <v>2852</v>
      </c>
      <c r="N221" s="8">
        <v>1</v>
      </c>
      <c r="O221" s="9" t="s">
        <v>2853</v>
      </c>
      <c r="P221" s="11">
        <v>312.91000000000003</v>
      </c>
      <c r="Q221" s="11">
        <v>264</v>
      </c>
      <c r="R221" s="11">
        <v>249.9</v>
      </c>
      <c r="S221" s="11">
        <v>1136.44</v>
      </c>
      <c r="T221" s="11">
        <v>355603.44040000002</v>
      </c>
      <c r="U221" s="12">
        <v>5.3999999999999999E-2</v>
      </c>
      <c r="V221" s="12">
        <v>0.85299999999999998</v>
      </c>
      <c r="W221" s="11">
        <v>1109.5</v>
      </c>
      <c r="X221" s="9" t="s">
        <v>288</v>
      </c>
      <c r="Y221" s="10">
        <v>44531</v>
      </c>
      <c r="Z221" s="13">
        <v>0.12280000000000001</v>
      </c>
      <c r="AC221" s="9" t="s">
        <v>289</v>
      </c>
      <c r="AD221" s="9" t="s">
        <v>290</v>
      </c>
      <c r="AE221" s="8">
        <v>1460.40149</v>
      </c>
      <c r="AF221" s="14">
        <v>45.091745000000003</v>
      </c>
      <c r="AG221" s="14">
        <v>0.24391699999999999</v>
      </c>
      <c r="AH221" s="9" t="s">
        <v>483</v>
      </c>
      <c r="AI221" s="15" t="s">
        <v>319</v>
      </c>
      <c r="AJ221" s="9" t="s">
        <v>293</v>
      </c>
      <c r="AK221" s="9" t="s">
        <v>2854</v>
      </c>
      <c r="AL221" s="9" t="s">
        <v>2855</v>
      </c>
      <c r="AM221" s="9"/>
      <c r="AN221" s="9" t="s">
        <v>2856</v>
      </c>
      <c r="AO221" s="9"/>
      <c r="AP221" s="9" t="s">
        <v>113</v>
      </c>
      <c r="AQ221" s="9" t="s">
        <v>298</v>
      </c>
      <c r="AR221" t="b">
        <v>0</v>
      </c>
      <c r="AS221" s="10"/>
      <c r="AT221" s="10" t="s">
        <v>299</v>
      </c>
      <c r="AU221" s="9"/>
      <c r="AV221" t="b">
        <v>0</v>
      </c>
      <c r="AW221" s="12"/>
      <c r="AX221" s="11"/>
      <c r="AY221" s="9"/>
      <c r="AZ221" t="b">
        <v>0</v>
      </c>
      <c r="BA221" s="9"/>
      <c r="BB221" s="12"/>
      <c r="BC221" s="11"/>
      <c r="BD221" s="9" t="s">
        <v>325</v>
      </c>
      <c r="BE221" s="9" t="s">
        <v>47</v>
      </c>
      <c r="BF221" s="9" t="s">
        <v>702</v>
      </c>
      <c r="BG221" s="9" t="s">
        <v>749</v>
      </c>
      <c r="BH221" s="9" t="s">
        <v>304</v>
      </c>
      <c r="BI221" s="9" t="s">
        <v>490</v>
      </c>
      <c r="BJ221" s="9" t="s">
        <v>491</v>
      </c>
      <c r="BK221" s="11">
        <v>856</v>
      </c>
      <c r="BL221" s="16">
        <v>179.93797000000001</v>
      </c>
      <c r="BM221" s="10">
        <v>45634</v>
      </c>
      <c r="BN221" s="10">
        <v>45638</v>
      </c>
      <c r="BO221" s="10"/>
      <c r="BP221" s="16"/>
      <c r="BQ221" s="16"/>
      <c r="BR221" s="9"/>
      <c r="BS221" s="9"/>
      <c r="BT221" s="9"/>
      <c r="BU221" s="9"/>
      <c r="BV221" s="9"/>
      <c r="BW221" s="10"/>
      <c r="BX221" s="15" t="s">
        <v>2857</v>
      </c>
      <c r="BY221" s="10"/>
      <c r="BZ221" s="10"/>
      <c r="CA221" s="10"/>
      <c r="CC221" s="9" t="s">
        <v>308</v>
      </c>
      <c r="CD221" s="9" t="s">
        <v>309</v>
      </c>
    </row>
    <row r="222" spans="1:82">
      <c r="A222" s="8">
        <v>34481</v>
      </c>
      <c r="B222" s="9" t="s">
        <v>2858</v>
      </c>
      <c r="C222" s="9" t="s">
        <v>932</v>
      </c>
      <c r="D222" s="10">
        <v>45554</v>
      </c>
      <c r="E222" s="9" t="s">
        <v>2859</v>
      </c>
      <c r="F222" s="9" t="s">
        <v>2860</v>
      </c>
      <c r="G222" s="9" t="s">
        <v>2861</v>
      </c>
      <c r="H222" s="9" t="s">
        <v>281</v>
      </c>
      <c r="I222" s="9" t="s">
        <v>282</v>
      </c>
      <c r="J222" s="9" t="s">
        <v>283</v>
      </c>
      <c r="K222" s="9" t="s">
        <v>284</v>
      </c>
      <c r="L222" s="9" t="s">
        <v>2862</v>
      </c>
      <c r="M222" s="9" t="s">
        <v>2863</v>
      </c>
      <c r="N222" s="8">
        <v>1</v>
      </c>
      <c r="O222" s="9" t="s">
        <v>2864</v>
      </c>
      <c r="P222" s="11">
        <v>197.8</v>
      </c>
      <c r="Q222" s="11">
        <v>165</v>
      </c>
      <c r="R222" s="11">
        <v>165</v>
      </c>
      <c r="S222" s="11">
        <v>1183</v>
      </c>
      <c r="T222" s="11">
        <v>233997.4</v>
      </c>
      <c r="U222" s="12">
        <v>5.3999999999999999E-2</v>
      </c>
      <c r="V222" s="12">
        <v>0.85599999999999998</v>
      </c>
      <c r="W222" s="11">
        <v>1134.7</v>
      </c>
      <c r="X222" s="9" t="s">
        <v>288</v>
      </c>
      <c r="Y222" s="10">
        <v>45019</v>
      </c>
      <c r="Z222" s="13">
        <v>0.13120000000000001</v>
      </c>
      <c r="AC222" s="9" t="s">
        <v>289</v>
      </c>
      <c r="AD222" s="9" t="s">
        <v>290</v>
      </c>
      <c r="AE222" s="8">
        <v>928.18799999999999</v>
      </c>
      <c r="AF222" s="14">
        <v>45.988950000000003</v>
      </c>
      <c r="AG222" s="14">
        <v>-0.21354000000000001</v>
      </c>
      <c r="AH222" s="9" t="s">
        <v>483</v>
      </c>
      <c r="AI222" s="15" t="s">
        <v>319</v>
      </c>
      <c r="AJ222" s="9" t="s">
        <v>293</v>
      </c>
      <c r="AK222" s="9" t="s">
        <v>2865</v>
      </c>
      <c r="AL222" s="9" t="s">
        <v>2866</v>
      </c>
      <c r="AM222" s="9"/>
      <c r="AN222" s="9" t="s">
        <v>2867</v>
      </c>
      <c r="AO222" s="9"/>
      <c r="AP222" s="9" t="s">
        <v>293</v>
      </c>
      <c r="AQ222" s="9" t="s">
        <v>293</v>
      </c>
      <c r="AR222" t="b">
        <v>0</v>
      </c>
      <c r="AS222" s="10"/>
      <c r="AT222" s="10" t="s">
        <v>299</v>
      </c>
      <c r="AU222" s="9"/>
      <c r="AV222" t="b">
        <v>0</v>
      </c>
      <c r="AW222" s="12"/>
      <c r="AX222" s="11"/>
      <c r="AY222" s="9"/>
      <c r="AZ222" t="b">
        <v>0</v>
      </c>
      <c r="BA222" s="9"/>
      <c r="BB222" s="12"/>
      <c r="BC222" s="11"/>
      <c r="BD222" s="9" t="s">
        <v>325</v>
      </c>
      <c r="BE222" s="9" t="s">
        <v>301</v>
      </c>
      <c r="BF222" s="9" t="s">
        <v>302</v>
      </c>
      <c r="BG222" s="9" t="s">
        <v>749</v>
      </c>
      <c r="BH222" s="9" t="s">
        <v>304</v>
      </c>
      <c r="BI222" s="9" t="s">
        <v>943</v>
      </c>
      <c r="BJ222" s="9" t="s">
        <v>944</v>
      </c>
      <c r="BK222" s="11">
        <v>856</v>
      </c>
      <c r="BL222" s="16">
        <v>137.6926</v>
      </c>
      <c r="BM222" s="10">
        <v>45630</v>
      </c>
      <c r="BN222" s="10">
        <v>45769</v>
      </c>
      <c r="BO222" s="10"/>
      <c r="BP222" s="16"/>
      <c r="BQ222" s="16"/>
      <c r="BR222" s="9" t="s">
        <v>2865</v>
      </c>
      <c r="BS222" s="9" t="s">
        <v>2868</v>
      </c>
      <c r="BT222" s="9" t="s">
        <v>2869</v>
      </c>
      <c r="BU222" s="9" t="s">
        <v>2860</v>
      </c>
      <c r="BV222" s="9"/>
      <c r="BW222" s="10"/>
      <c r="BX222" s="15" t="s">
        <v>2870</v>
      </c>
      <c r="BY222" s="10"/>
      <c r="BZ222" s="10"/>
      <c r="CA222" s="10"/>
      <c r="CC222" s="9" t="s">
        <v>308</v>
      </c>
      <c r="CD222" s="9" t="s">
        <v>309</v>
      </c>
    </row>
    <row r="223" spans="1:82" ht="72.599999999999994">
      <c r="A223" s="8">
        <v>23243</v>
      </c>
      <c r="B223" s="9" t="s">
        <v>2871</v>
      </c>
      <c r="C223" s="9" t="s">
        <v>970</v>
      </c>
      <c r="D223" s="10">
        <v>45554</v>
      </c>
      <c r="E223" s="9" t="s">
        <v>2872</v>
      </c>
      <c r="F223" s="9" t="s">
        <v>2873</v>
      </c>
      <c r="G223" s="9" t="s">
        <v>2874</v>
      </c>
      <c r="H223" s="9" t="s">
        <v>281</v>
      </c>
      <c r="I223" s="9" t="s">
        <v>282</v>
      </c>
      <c r="J223" s="9" t="s">
        <v>283</v>
      </c>
      <c r="K223" s="9" t="s">
        <v>284</v>
      </c>
      <c r="L223" s="9" t="s">
        <v>2875</v>
      </c>
      <c r="M223" s="9" t="s">
        <v>2876</v>
      </c>
      <c r="N223" s="8">
        <v>1</v>
      </c>
      <c r="O223" s="9" t="s">
        <v>2877</v>
      </c>
      <c r="P223" s="11">
        <v>225.75</v>
      </c>
      <c r="Q223" s="11">
        <v>220</v>
      </c>
      <c r="R223" s="11">
        <v>210</v>
      </c>
      <c r="S223" s="11">
        <v>1187</v>
      </c>
      <c r="T223" s="11">
        <v>267965.25</v>
      </c>
      <c r="U223" s="12">
        <v>5.3999999999999999E-2</v>
      </c>
      <c r="V223" s="12">
        <v>0.85799999999999998</v>
      </c>
      <c r="W223" s="11">
        <v>1238.3</v>
      </c>
      <c r="X223" s="9" t="s">
        <v>288</v>
      </c>
      <c r="Y223" s="10">
        <v>44712</v>
      </c>
      <c r="Z223" s="13">
        <v>0.12280000000000001</v>
      </c>
      <c r="AC223" s="9" t="s">
        <v>289</v>
      </c>
      <c r="AD223" s="9" t="s">
        <v>290</v>
      </c>
      <c r="AE223" s="8">
        <v>1021.577</v>
      </c>
      <c r="AF223" s="14">
        <v>43.946620000000003</v>
      </c>
      <c r="AG223" s="14">
        <v>3.0605799999999999</v>
      </c>
      <c r="AH223" s="9" t="s">
        <v>483</v>
      </c>
      <c r="AI223" s="15" t="s">
        <v>319</v>
      </c>
      <c r="AJ223" s="9" t="s">
        <v>293</v>
      </c>
      <c r="AK223" s="9" t="s">
        <v>2878</v>
      </c>
      <c r="AL223" s="9" t="s">
        <v>2879</v>
      </c>
      <c r="AM223" s="9"/>
      <c r="AN223" s="9" t="s">
        <v>2880</v>
      </c>
      <c r="AO223" s="9"/>
      <c r="AP223" s="9" t="s">
        <v>43</v>
      </c>
      <c r="AQ223" s="9" t="s">
        <v>847</v>
      </c>
      <c r="AR223" t="b">
        <v>0</v>
      </c>
      <c r="AS223" s="10"/>
      <c r="AT223" s="10" t="s">
        <v>299</v>
      </c>
      <c r="AU223" s="9"/>
      <c r="AV223" t="b">
        <v>0</v>
      </c>
      <c r="AW223" s="12"/>
      <c r="AX223" s="11"/>
      <c r="AY223" s="9"/>
      <c r="AZ223" t="b">
        <v>0</v>
      </c>
      <c r="BA223" s="9"/>
      <c r="BB223" s="12"/>
      <c r="BC223" s="11"/>
      <c r="BD223" s="9" t="s">
        <v>325</v>
      </c>
      <c r="BE223" s="9" t="s">
        <v>301</v>
      </c>
      <c r="BF223" s="9" t="s">
        <v>356</v>
      </c>
      <c r="BG223" s="9" t="s">
        <v>738</v>
      </c>
      <c r="BH223" s="9" t="s">
        <v>304</v>
      </c>
      <c r="BI223" s="9" t="s">
        <v>981</v>
      </c>
      <c r="BJ223" s="9" t="s">
        <v>982</v>
      </c>
      <c r="BK223" s="11">
        <v>856</v>
      </c>
      <c r="BL223" s="16">
        <v>147.95025000000001</v>
      </c>
      <c r="BM223" s="10">
        <v>45630</v>
      </c>
      <c r="BN223" s="10">
        <v>45741</v>
      </c>
      <c r="BO223" s="10"/>
      <c r="BP223" s="16"/>
      <c r="BQ223" s="16"/>
      <c r="BR223" s="9" t="s">
        <v>2881</v>
      </c>
      <c r="BS223" s="9" t="s">
        <v>2882</v>
      </c>
      <c r="BT223" s="9" t="s">
        <v>2883</v>
      </c>
      <c r="BU223" s="9" t="s">
        <v>2884</v>
      </c>
      <c r="BV223" s="9"/>
      <c r="BW223" s="10"/>
      <c r="BX223" s="15" t="s">
        <v>2885</v>
      </c>
      <c r="BY223" s="10"/>
      <c r="BZ223" s="10"/>
      <c r="CA223" s="10"/>
      <c r="CC223" s="9" t="s">
        <v>308</v>
      </c>
      <c r="CD223" s="9" t="s">
        <v>309</v>
      </c>
    </row>
    <row r="224" spans="1:82">
      <c r="A224" s="8">
        <v>32354</v>
      </c>
      <c r="B224" s="9" t="s">
        <v>2886</v>
      </c>
      <c r="C224" s="9" t="s">
        <v>932</v>
      </c>
      <c r="D224" s="10">
        <v>45547</v>
      </c>
      <c r="E224" s="9" t="s">
        <v>2887</v>
      </c>
      <c r="F224" s="9" t="s">
        <v>2888</v>
      </c>
      <c r="G224" s="9" t="s">
        <v>2889</v>
      </c>
      <c r="H224" s="9" t="s">
        <v>281</v>
      </c>
      <c r="I224" s="9" t="s">
        <v>282</v>
      </c>
      <c r="J224" s="9" t="s">
        <v>283</v>
      </c>
      <c r="K224" s="9" t="s">
        <v>284</v>
      </c>
      <c r="L224" s="9" t="s">
        <v>2890</v>
      </c>
      <c r="M224" s="9" t="s">
        <v>2891</v>
      </c>
      <c r="N224" s="8">
        <v>1</v>
      </c>
      <c r="O224" s="9" t="s">
        <v>2892</v>
      </c>
      <c r="P224" s="11">
        <v>361.2</v>
      </c>
      <c r="Q224" s="11">
        <v>250</v>
      </c>
      <c r="R224" s="11">
        <v>250</v>
      </c>
      <c r="S224" s="11">
        <v>1332.24</v>
      </c>
      <c r="T224" s="11">
        <v>481205.08799999999</v>
      </c>
      <c r="U224" s="12">
        <v>5.2999999999999999E-2</v>
      </c>
      <c r="V224" s="12">
        <v>0.83899999999999997</v>
      </c>
      <c r="W224" s="11">
        <v>1298.5999999999999</v>
      </c>
      <c r="X224" s="9" t="s">
        <v>288</v>
      </c>
      <c r="Y224" s="10">
        <v>44963</v>
      </c>
      <c r="Z224" s="13">
        <v>0.13120000000000001</v>
      </c>
      <c r="AC224" s="9" t="s">
        <v>289</v>
      </c>
      <c r="AD224" s="9" t="s">
        <v>290</v>
      </c>
      <c r="AE224" s="8">
        <v>1694.952</v>
      </c>
      <c r="AF224" s="14">
        <v>44.07461</v>
      </c>
      <c r="AG224" s="14">
        <v>4.9489599999999996</v>
      </c>
      <c r="AH224" s="9" t="s">
        <v>483</v>
      </c>
      <c r="AI224" s="15" t="s">
        <v>319</v>
      </c>
      <c r="AJ224" s="9" t="s">
        <v>293</v>
      </c>
      <c r="AK224" s="9" t="s">
        <v>2893</v>
      </c>
      <c r="AL224" s="9" t="s">
        <v>2894</v>
      </c>
      <c r="AM224" s="9" t="s">
        <v>2895</v>
      </c>
      <c r="AN224" s="9" t="s">
        <v>2896</v>
      </c>
      <c r="AO224" s="9"/>
      <c r="AP224" s="9" t="s">
        <v>108</v>
      </c>
      <c r="AQ224" s="9" t="s">
        <v>372</v>
      </c>
      <c r="AR224" t="b">
        <v>0</v>
      </c>
      <c r="AS224" s="10"/>
      <c r="AT224" s="10" t="s">
        <v>299</v>
      </c>
      <c r="AU224" s="9"/>
      <c r="AV224" t="b">
        <v>0</v>
      </c>
      <c r="AW224" s="12"/>
      <c r="AX224" s="11"/>
      <c r="AY224" s="9"/>
      <c r="AZ224" t="b">
        <v>0</v>
      </c>
      <c r="BA224" s="9"/>
      <c r="BB224" s="12"/>
      <c r="BC224" s="11"/>
      <c r="BD224" s="9" t="s">
        <v>300</v>
      </c>
      <c r="BE224" s="9" t="s">
        <v>301</v>
      </c>
      <c r="BF224" s="9" t="s">
        <v>690</v>
      </c>
      <c r="BG224" s="9" t="s">
        <v>967</v>
      </c>
      <c r="BH224" s="9" t="s">
        <v>304</v>
      </c>
      <c r="BI224" s="9" t="s">
        <v>943</v>
      </c>
      <c r="BJ224" s="9" t="s">
        <v>944</v>
      </c>
      <c r="BK224" s="11">
        <v>856</v>
      </c>
      <c r="BL224" s="16">
        <v>197.66040000000001</v>
      </c>
      <c r="BM224" s="10">
        <v>45863</v>
      </c>
      <c r="BN224" s="10">
        <v>45908</v>
      </c>
      <c r="BO224" s="10"/>
      <c r="BP224" s="16"/>
      <c r="BQ224" s="16"/>
      <c r="BR224" s="9" t="s">
        <v>2897</v>
      </c>
      <c r="BS224" s="9" t="s">
        <v>2898</v>
      </c>
      <c r="BT224" s="9" t="s">
        <v>2889</v>
      </c>
      <c r="BU224" s="9" t="s">
        <v>2888</v>
      </c>
      <c r="BV224" s="9"/>
      <c r="BW224" s="10"/>
      <c r="BX224" s="15" t="s">
        <v>884</v>
      </c>
      <c r="BY224" s="10"/>
      <c r="BZ224" s="10"/>
      <c r="CA224" s="10"/>
      <c r="CC224" s="9" t="s">
        <v>308</v>
      </c>
      <c r="CD224" s="9" t="s">
        <v>309</v>
      </c>
    </row>
    <row r="225" spans="1:82">
      <c r="A225" s="8">
        <v>12814</v>
      </c>
      <c r="B225" s="9" t="s">
        <v>2899</v>
      </c>
      <c r="C225" s="9" t="s">
        <v>475</v>
      </c>
      <c r="D225" s="10">
        <v>45547</v>
      </c>
      <c r="E225" s="9" t="s">
        <v>2900</v>
      </c>
      <c r="F225" s="9" t="s">
        <v>2901</v>
      </c>
      <c r="G225" s="9" t="s">
        <v>2902</v>
      </c>
      <c r="H225" s="9" t="s">
        <v>2338</v>
      </c>
      <c r="I225" s="9" t="s">
        <v>1623</v>
      </c>
      <c r="J225" s="9" t="s">
        <v>719</v>
      </c>
      <c r="K225" s="9" t="s">
        <v>284</v>
      </c>
      <c r="L225" s="9" t="s">
        <v>2903</v>
      </c>
      <c r="M225" s="9" t="s">
        <v>2904</v>
      </c>
      <c r="N225" s="8">
        <v>1</v>
      </c>
      <c r="O225" s="9" t="s">
        <v>2905</v>
      </c>
      <c r="P225" s="11">
        <v>112.88</v>
      </c>
      <c r="Q225" s="11">
        <v>110</v>
      </c>
      <c r="R225" s="11">
        <v>90</v>
      </c>
      <c r="S225" s="11">
        <v>1572.82</v>
      </c>
      <c r="T225" s="11">
        <v>177539.9216</v>
      </c>
      <c r="U225" s="12">
        <v>5.2999999999999999E-2</v>
      </c>
      <c r="V225" s="12">
        <v>0.85799999999999998</v>
      </c>
      <c r="W225" s="11">
        <v>1484.7</v>
      </c>
      <c r="X225" s="9" t="s">
        <v>288</v>
      </c>
      <c r="Y225" s="10">
        <v>45295</v>
      </c>
      <c r="Z225" s="13">
        <v>0.1208</v>
      </c>
      <c r="AC225" s="9" t="s">
        <v>289</v>
      </c>
      <c r="AD225" s="9" t="s">
        <v>290</v>
      </c>
      <c r="AE225" s="8">
        <v>526.82899999999995</v>
      </c>
      <c r="AF225" s="14">
        <v>44.292949999999998</v>
      </c>
      <c r="AG225" s="14">
        <v>5.8948400000000003</v>
      </c>
      <c r="AH225" s="9" t="s">
        <v>483</v>
      </c>
      <c r="AI225" s="15" t="s">
        <v>319</v>
      </c>
      <c r="AJ225" s="9" t="s">
        <v>293</v>
      </c>
      <c r="AK225" s="9" t="s">
        <v>2906</v>
      </c>
      <c r="AL225" s="9" t="s">
        <v>2907</v>
      </c>
      <c r="AM225" s="9"/>
      <c r="AN225" s="9" t="s">
        <v>2908</v>
      </c>
      <c r="AO225" s="9"/>
      <c r="AP225" s="9" t="s">
        <v>43</v>
      </c>
      <c r="AQ225" s="9" t="s">
        <v>847</v>
      </c>
      <c r="AR225" t="b">
        <v>1</v>
      </c>
      <c r="AS225" s="10">
        <v>45547</v>
      </c>
      <c r="AT225" s="10">
        <v>45912</v>
      </c>
      <c r="AU225" s="9" t="s">
        <v>612</v>
      </c>
      <c r="AV225" t="b">
        <v>0</v>
      </c>
      <c r="AW225" s="12"/>
      <c r="AX225" s="11">
        <v>10</v>
      </c>
      <c r="AY225" s="9" t="s">
        <v>471</v>
      </c>
      <c r="AZ225" t="b">
        <v>0</v>
      </c>
      <c r="BA225" s="9"/>
      <c r="BB225" s="12"/>
      <c r="BC225" s="11"/>
      <c r="BD225" s="9" t="s">
        <v>300</v>
      </c>
      <c r="BE225" s="9" t="s">
        <v>47</v>
      </c>
      <c r="BF225" s="9" t="s">
        <v>690</v>
      </c>
      <c r="BG225" s="9" t="s">
        <v>967</v>
      </c>
      <c r="BH225" s="9" t="s">
        <v>304</v>
      </c>
      <c r="BI225" s="9" t="s">
        <v>490</v>
      </c>
      <c r="BJ225" s="9" t="s">
        <v>491</v>
      </c>
      <c r="BK225" s="11">
        <v>856</v>
      </c>
      <c r="BL225" s="16">
        <v>106.52696</v>
      </c>
      <c r="BM225" s="10">
        <v>45593</v>
      </c>
      <c r="BN225" s="10">
        <v>45639</v>
      </c>
      <c r="BO225" s="10"/>
      <c r="BP225" s="16"/>
      <c r="BQ225" s="16"/>
      <c r="BR225" s="9" t="s">
        <v>2909</v>
      </c>
      <c r="BS225" s="9" t="s">
        <v>2910</v>
      </c>
      <c r="BT225" s="9" t="s">
        <v>2911</v>
      </c>
      <c r="BU225" s="9" t="s">
        <v>2901</v>
      </c>
      <c r="BV225" s="9"/>
      <c r="BW225" s="10"/>
      <c r="BX225" s="15" t="s">
        <v>2912</v>
      </c>
      <c r="BY225" s="10"/>
      <c r="BZ225" s="10"/>
      <c r="CA225" s="10"/>
      <c r="CC225" s="9" t="s">
        <v>308</v>
      </c>
      <c r="CD225" s="9" t="s">
        <v>309</v>
      </c>
    </row>
    <row r="226" spans="1:82">
      <c r="A226" s="8">
        <v>27201</v>
      </c>
      <c r="B226" s="9" t="s">
        <v>2913</v>
      </c>
      <c r="C226" s="9" t="s">
        <v>1257</v>
      </c>
      <c r="D226" s="10">
        <v>45545</v>
      </c>
      <c r="E226" s="9" t="s">
        <v>2914</v>
      </c>
      <c r="F226" s="9" t="s">
        <v>1835</v>
      </c>
      <c r="G226" s="9" t="s">
        <v>2915</v>
      </c>
      <c r="H226" s="9" t="s">
        <v>281</v>
      </c>
      <c r="I226" s="9" t="s">
        <v>282</v>
      </c>
      <c r="J226" s="9" t="s">
        <v>283</v>
      </c>
      <c r="K226" s="9" t="s">
        <v>284</v>
      </c>
      <c r="L226" s="9" t="s">
        <v>2916</v>
      </c>
      <c r="M226" s="9" t="s">
        <v>2917</v>
      </c>
      <c r="N226" s="8">
        <v>1</v>
      </c>
      <c r="O226" s="9" t="s">
        <v>2918</v>
      </c>
      <c r="P226" s="11">
        <v>167.7</v>
      </c>
      <c r="Q226" s="11">
        <v>165</v>
      </c>
      <c r="R226" s="11">
        <v>133.30000000000001</v>
      </c>
      <c r="S226" s="11">
        <v>1177.6600000000001</v>
      </c>
      <c r="T226" s="11">
        <v>197493.58199999999</v>
      </c>
      <c r="U226" s="12">
        <v>5.3999999999999999E-2</v>
      </c>
      <c r="V226" s="12">
        <v>0.86599999999999999</v>
      </c>
      <c r="W226" s="11">
        <v>1178</v>
      </c>
      <c r="X226" s="9" t="s">
        <v>288</v>
      </c>
      <c r="Y226" s="10">
        <v>45020</v>
      </c>
      <c r="Z226" s="13">
        <v>0.13120000000000001</v>
      </c>
      <c r="AC226" s="9" t="s">
        <v>289</v>
      </c>
      <c r="AD226" s="9" t="s">
        <v>290</v>
      </c>
      <c r="AE226" s="8">
        <v>786.94200000000001</v>
      </c>
      <c r="AF226" s="14">
        <v>46.1511</v>
      </c>
      <c r="AG226" s="14">
        <v>1.76677</v>
      </c>
      <c r="AH226" s="9" t="s">
        <v>483</v>
      </c>
      <c r="AI226" s="15" t="s">
        <v>319</v>
      </c>
      <c r="AJ226" s="9" t="s">
        <v>293</v>
      </c>
      <c r="AK226" s="9" t="s">
        <v>2919</v>
      </c>
      <c r="AL226" s="9" t="s">
        <v>2920</v>
      </c>
      <c r="AM226" s="9"/>
      <c r="AN226" s="9" t="s">
        <v>2921</v>
      </c>
      <c r="AO226" s="9"/>
      <c r="AP226" s="9" t="s">
        <v>108</v>
      </c>
      <c r="AQ226" s="9" t="s">
        <v>298</v>
      </c>
      <c r="AR226" t="b">
        <v>0</v>
      </c>
      <c r="AS226" s="10"/>
      <c r="AT226" s="10" t="s">
        <v>299</v>
      </c>
      <c r="AU226" s="9"/>
      <c r="AV226" t="b">
        <v>0</v>
      </c>
      <c r="AW226" s="12"/>
      <c r="AX226" s="11"/>
      <c r="AY226" s="9"/>
      <c r="AZ226" t="b">
        <v>0</v>
      </c>
      <c r="BA226" s="9"/>
      <c r="BB226" s="12"/>
      <c r="BC226" s="11"/>
      <c r="BD226" s="9" t="s">
        <v>325</v>
      </c>
      <c r="BE226" s="9" t="s">
        <v>47</v>
      </c>
      <c r="BF226" s="9" t="s">
        <v>402</v>
      </c>
      <c r="BG226" s="9" t="s">
        <v>529</v>
      </c>
      <c r="BH226" s="9" t="s">
        <v>304</v>
      </c>
      <c r="BI226" s="9" t="s">
        <v>1267</v>
      </c>
      <c r="BJ226" s="9" t="s">
        <v>1268</v>
      </c>
      <c r="BK226" s="11">
        <v>856</v>
      </c>
      <c r="BL226" s="16">
        <v>126.6459</v>
      </c>
      <c r="BM226" s="10">
        <v>45591</v>
      </c>
      <c r="BN226" s="10">
        <v>45793</v>
      </c>
      <c r="BO226" s="10">
        <v>45793</v>
      </c>
      <c r="BP226" s="16"/>
      <c r="BQ226" s="16"/>
      <c r="BR226" s="9"/>
      <c r="BS226" s="9"/>
      <c r="BT226" s="9"/>
      <c r="BU226" s="9"/>
      <c r="BV226" s="9"/>
      <c r="BW226" s="10"/>
      <c r="BX226" s="15" t="s">
        <v>2922</v>
      </c>
      <c r="BY226" s="10"/>
      <c r="BZ226" s="10"/>
      <c r="CA226" s="10"/>
      <c r="CC226" s="9" t="s">
        <v>308</v>
      </c>
      <c r="CD226" s="9" t="s">
        <v>309</v>
      </c>
    </row>
    <row r="227" spans="1:82">
      <c r="A227" s="8">
        <v>13588</v>
      </c>
      <c r="B227" s="9" t="s">
        <v>2923</v>
      </c>
      <c r="C227" s="9" t="s">
        <v>970</v>
      </c>
      <c r="D227" s="10">
        <v>45544</v>
      </c>
      <c r="E227" s="9" t="s">
        <v>2924</v>
      </c>
      <c r="F227" s="9" t="s">
        <v>1498</v>
      </c>
      <c r="G227" s="9" t="s">
        <v>2925</v>
      </c>
      <c r="H227" s="9" t="s">
        <v>281</v>
      </c>
      <c r="I227" s="9" t="s">
        <v>282</v>
      </c>
      <c r="J227" s="9" t="s">
        <v>283</v>
      </c>
      <c r="K227" s="9" t="s">
        <v>284</v>
      </c>
      <c r="L227" s="9" t="s">
        <v>2926</v>
      </c>
      <c r="M227" s="9" t="s">
        <v>2927</v>
      </c>
      <c r="N227" s="8">
        <v>1</v>
      </c>
      <c r="O227" s="9" t="s">
        <v>2928</v>
      </c>
      <c r="P227" s="11">
        <v>136</v>
      </c>
      <c r="Q227" s="11">
        <v>110</v>
      </c>
      <c r="R227" s="11">
        <v>118</v>
      </c>
      <c r="S227" s="11">
        <v>1090</v>
      </c>
      <c r="T227" s="11">
        <v>148240</v>
      </c>
      <c r="U227" s="12">
        <v>5.3999999999999999E-2</v>
      </c>
      <c r="V227" s="12">
        <v>0.86199999999999999</v>
      </c>
      <c r="W227" s="11">
        <v>1236.8</v>
      </c>
      <c r="X227" s="9" t="s">
        <v>288</v>
      </c>
      <c r="Y227" s="10">
        <v>44973</v>
      </c>
      <c r="Z227" s="13">
        <v>0.13120000000000001</v>
      </c>
      <c r="AC227" s="9" t="s">
        <v>289</v>
      </c>
      <c r="AD227" s="9" t="s">
        <v>290</v>
      </c>
      <c r="AE227" s="8">
        <v>645.69600000000003</v>
      </c>
      <c r="AF227" s="14">
        <v>45.285679999999999</v>
      </c>
      <c r="AG227" s="14">
        <v>2.1250499999999999</v>
      </c>
      <c r="AH227" s="9" t="s">
        <v>483</v>
      </c>
      <c r="AI227" s="15" t="s">
        <v>319</v>
      </c>
      <c r="AJ227" s="9" t="s">
        <v>293</v>
      </c>
      <c r="AK227" s="9" t="s">
        <v>2929</v>
      </c>
      <c r="AL227" s="9" t="s">
        <v>2930</v>
      </c>
      <c r="AM227" s="9"/>
      <c r="AN227" s="9" t="s">
        <v>2931</v>
      </c>
      <c r="AO227" s="9"/>
      <c r="AP227" s="9" t="s">
        <v>2186</v>
      </c>
      <c r="AQ227" s="9" t="s">
        <v>372</v>
      </c>
      <c r="AR227" t="b">
        <v>0</v>
      </c>
      <c r="AS227" s="10"/>
      <c r="AT227" s="10" t="s">
        <v>299</v>
      </c>
      <c r="AU227" s="9"/>
      <c r="AV227" t="b">
        <v>0</v>
      </c>
      <c r="AW227" s="12"/>
      <c r="AX227" s="11"/>
      <c r="AY227" s="9"/>
      <c r="AZ227" t="b">
        <v>0</v>
      </c>
      <c r="BA227" s="9"/>
      <c r="BB227" s="12"/>
      <c r="BC227" s="11"/>
      <c r="BD227" s="9" t="s">
        <v>325</v>
      </c>
      <c r="BE227" s="9" t="s">
        <v>301</v>
      </c>
      <c r="BF227" s="9" t="s">
        <v>373</v>
      </c>
      <c r="BG227" s="9" t="s">
        <v>749</v>
      </c>
      <c r="BH227" s="9" t="s">
        <v>304</v>
      </c>
      <c r="BI227" s="9" t="s">
        <v>981</v>
      </c>
      <c r="BJ227" s="9" t="s">
        <v>982</v>
      </c>
      <c r="BK227" s="11">
        <v>856</v>
      </c>
      <c r="BL227" s="16">
        <v>115.012</v>
      </c>
      <c r="BM227" s="10">
        <v>45620</v>
      </c>
      <c r="BN227" s="10">
        <v>45770</v>
      </c>
      <c r="BO227" s="10"/>
      <c r="BP227" s="16"/>
      <c r="BQ227" s="16"/>
      <c r="BR227" s="9" t="s">
        <v>2932</v>
      </c>
      <c r="BS227" s="9" t="s">
        <v>2933</v>
      </c>
      <c r="BT227" s="9" t="s">
        <v>2934</v>
      </c>
      <c r="BU227" s="9" t="s">
        <v>1498</v>
      </c>
      <c r="BV227" s="9"/>
      <c r="BW227" s="10"/>
      <c r="BX227" s="15" t="s">
        <v>2935</v>
      </c>
      <c r="BY227" s="10"/>
      <c r="BZ227" s="10"/>
      <c r="CA227" s="10"/>
      <c r="CC227" s="9" t="s">
        <v>308</v>
      </c>
      <c r="CD227" s="9" t="s">
        <v>309</v>
      </c>
    </row>
    <row r="228" spans="1:82">
      <c r="A228" s="8">
        <v>95696</v>
      </c>
      <c r="B228" s="9" t="s">
        <v>2936</v>
      </c>
      <c r="C228" s="9" t="s">
        <v>1204</v>
      </c>
      <c r="D228" s="10">
        <v>45544</v>
      </c>
      <c r="E228" s="9" t="s">
        <v>2937</v>
      </c>
      <c r="F228" s="9" t="s">
        <v>2938</v>
      </c>
      <c r="G228" s="9" t="s">
        <v>2939</v>
      </c>
      <c r="H228" s="9" t="s">
        <v>315</v>
      </c>
      <c r="I228" s="9" t="s">
        <v>282</v>
      </c>
      <c r="J228" s="9" t="s">
        <v>283</v>
      </c>
      <c r="K228" s="9" t="s">
        <v>284</v>
      </c>
      <c r="L228" s="9" t="s">
        <v>2940</v>
      </c>
      <c r="M228" s="9" t="s">
        <v>2941</v>
      </c>
      <c r="N228" s="8">
        <v>2</v>
      </c>
      <c r="O228" s="9" t="s">
        <v>2942</v>
      </c>
      <c r="P228" s="11">
        <v>431.72</v>
      </c>
      <c r="Q228" s="11">
        <v>440</v>
      </c>
      <c r="R228" s="11">
        <v>366.6</v>
      </c>
      <c r="S228" s="11">
        <v>1090.2177985948499</v>
      </c>
      <c r="T228" s="11">
        <v>470668.82800936903</v>
      </c>
      <c r="U228" s="12">
        <v>5.3999999999999999E-2</v>
      </c>
      <c r="V228" s="12">
        <v>0.85699999999999998</v>
      </c>
      <c r="W228" s="11">
        <v>1069.5999999999999</v>
      </c>
      <c r="X228" s="9" t="s">
        <v>288</v>
      </c>
      <c r="Y228" s="10">
        <v>44957</v>
      </c>
      <c r="Z228" s="13">
        <v>0.12280000000000001</v>
      </c>
      <c r="AC228" s="9" t="s">
        <v>289</v>
      </c>
      <c r="AD228" s="9" t="s">
        <v>290</v>
      </c>
      <c r="AE228" s="8">
        <v>2025.8712</v>
      </c>
      <c r="AF228" s="14">
        <v>46.375950000000003</v>
      </c>
      <c r="AG228" s="14">
        <v>4.1115300000000001</v>
      </c>
      <c r="AH228" s="9" t="s">
        <v>483</v>
      </c>
      <c r="AI228" s="15" t="s">
        <v>319</v>
      </c>
      <c r="AJ228" s="9" t="s">
        <v>293</v>
      </c>
      <c r="AK228" s="9" t="s">
        <v>2943</v>
      </c>
      <c r="AL228" s="9" t="s">
        <v>2944</v>
      </c>
      <c r="AM228" s="9"/>
      <c r="AN228" s="9" t="s">
        <v>2945</v>
      </c>
      <c r="AO228" s="9"/>
      <c r="AP228" s="9" t="s">
        <v>2946</v>
      </c>
      <c r="AQ228" s="9" t="s">
        <v>1212</v>
      </c>
      <c r="AR228" t="b">
        <v>1</v>
      </c>
      <c r="AS228" s="10">
        <v>45657</v>
      </c>
      <c r="AT228" s="10">
        <v>46022</v>
      </c>
      <c r="AU228" s="9" t="s">
        <v>470</v>
      </c>
      <c r="AV228" t="b">
        <v>0</v>
      </c>
      <c r="AW228" s="12"/>
      <c r="AX228" s="11">
        <v>2500</v>
      </c>
      <c r="AY228" s="9" t="s">
        <v>471</v>
      </c>
      <c r="AZ228" t="b">
        <v>1</v>
      </c>
      <c r="BA228" s="9" t="s">
        <v>472</v>
      </c>
      <c r="BB228" s="12"/>
      <c r="BC228" s="11">
        <v>2500</v>
      </c>
      <c r="BD228" s="9" t="s">
        <v>300</v>
      </c>
      <c r="BE228" s="9" t="s">
        <v>86</v>
      </c>
      <c r="BF228" s="9" t="s">
        <v>1111</v>
      </c>
      <c r="BG228" s="9" t="s">
        <v>303</v>
      </c>
      <c r="BH228" s="9" t="s">
        <v>304</v>
      </c>
      <c r="BI228" s="9" t="s">
        <v>1213</v>
      </c>
      <c r="BJ228" s="9" t="s">
        <v>1214</v>
      </c>
      <c r="BK228" s="11">
        <v>856</v>
      </c>
      <c r="BL228" s="16">
        <v>223.54123999999999</v>
      </c>
      <c r="BM228" s="10">
        <v>45605</v>
      </c>
      <c r="BN228" s="10">
        <v>45792</v>
      </c>
      <c r="BO228" s="10"/>
      <c r="BP228" s="16"/>
      <c r="BQ228" s="16"/>
      <c r="BR228" s="9" t="s">
        <v>2947</v>
      </c>
      <c r="BS228" s="9" t="s">
        <v>2948</v>
      </c>
      <c r="BT228" s="9" t="s">
        <v>2939</v>
      </c>
      <c r="BU228" s="9" t="s">
        <v>2938</v>
      </c>
      <c r="BV228" s="9" t="s">
        <v>2949</v>
      </c>
      <c r="BW228" s="10"/>
      <c r="BX228" s="15" t="s">
        <v>1155</v>
      </c>
      <c r="BY228" s="10"/>
      <c r="BZ228" s="10"/>
      <c r="CA228" s="10"/>
      <c r="CC228" s="9" t="s">
        <v>308</v>
      </c>
      <c r="CD228" s="9" t="s">
        <v>309</v>
      </c>
    </row>
    <row r="229" spans="1:82">
      <c r="A229" s="8">
        <v>30155</v>
      </c>
      <c r="B229" s="9" t="s">
        <v>2950</v>
      </c>
      <c r="C229" s="9" t="s">
        <v>475</v>
      </c>
      <c r="D229" s="10">
        <v>45539</v>
      </c>
      <c r="E229" s="9" t="s">
        <v>2951</v>
      </c>
      <c r="F229" s="9" t="s">
        <v>2952</v>
      </c>
      <c r="G229" s="9" t="s">
        <v>2953</v>
      </c>
      <c r="H229" s="9" t="s">
        <v>281</v>
      </c>
      <c r="I229" s="9" t="s">
        <v>282</v>
      </c>
      <c r="J229" s="9" t="s">
        <v>283</v>
      </c>
      <c r="K229" s="9" t="s">
        <v>284</v>
      </c>
      <c r="L229" s="9" t="s">
        <v>2954</v>
      </c>
      <c r="M229" s="9" t="s">
        <v>2955</v>
      </c>
      <c r="N229" s="8">
        <v>2</v>
      </c>
      <c r="O229" s="9" t="s">
        <v>2956</v>
      </c>
      <c r="P229" s="11">
        <v>510.03500000000003</v>
      </c>
      <c r="Q229" s="11">
        <v>440</v>
      </c>
      <c r="R229" s="11">
        <v>416.6</v>
      </c>
      <c r="S229" s="11">
        <v>1081.78</v>
      </c>
      <c r="T229" s="11">
        <v>551745.66229999997</v>
      </c>
      <c r="U229" s="12">
        <v>5.3999999999999999E-2</v>
      </c>
      <c r="V229" s="12">
        <v>0.87900999999999996</v>
      </c>
      <c r="W229" s="11">
        <v>1106.6849999999999</v>
      </c>
      <c r="X229" s="9" t="s">
        <v>288</v>
      </c>
      <c r="Y229" s="10">
        <v>44712</v>
      </c>
      <c r="Z229" s="13">
        <v>0.12870000000000001</v>
      </c>
      <c r="AC229" s="9" t="s">
        <v>289</v>
      </c>
      <c r="AD229" s="9" t="s">
        <v>290</v>
      </c>
      <c r="AE229" s="8">
        <v>2380.4156899999998</v>
      </c>
      <c r="AF229" s="14">
        <v>46.356960000000001</v>
      </c>
      <c r="AG229" s="14">
        <v>2.3345699999999998</v>
      </c>
      <c r="AH229" s="9" t="s">
        <v>483</v>
      </c>
      <c r="AI229" s="15" t="s">
        <v>2957</v>
      </c>
      <c r="AJ229" s="9" t="s">
        <v>293</v>
      </c>
      <c r="AK229" s="9" t="s">
        <v>2958</v>
      </c>
      <c r="AL229" s="9" t="s">
        <v>893</v>
      </c>
      <c r="AM229" s="9"/>
      <c r="AN229" s="9" t="s">
        <v>2959</v>
      </c>
      <c r="AO229" s="9"/>
      <c r="AP229" s="9" t="s">
        <v>323</v>
      </c>
      <c r="AQ229" s="9" t="s">
        <v>298</v>
      </c>
      <c r="AR229" t="b">
        <v>0</v>
      </c>
      <c r="AS229" s="10"/>
      <c r="AT229" s="10" t="s">
        <v>299</v>
      </c>
      <c r="AU229" s="9"/>
      <c r="AV229" t="b">
        <v>0</v>
      </c>
      <c r="AW229" s="12"/>
      <c r="AX229" s="11"/>
      <c r="AY229" s="9"/>
      <c r="AZ229" t="b">
        <v>0</v>
      </c>
      <c r="BA229" s="9"/>
      <c r="BB229" s="12"/>
      <c r="BC229" s="11"/>
      <c r="BD229" s="9" t="s">
        <v>300</v>
      </c>
      <c r="BE229" s="9" t="s">
        <v>47</v>
      </c>
      <c r="BF229" s="9" t="s">
        <v>302</v>
      </c>
      <c r="BG229" s="9" t="s">
        <v>303</v>
      </c>
      <c r="BH229" s="9" t="s">
        <v>304</v>
      </c>
      <c r="BI229" s="9" t="s">
        <v>490</v>
      </c>
      <c r="BJ229" s="9" t="s">
        <v>491</v>
      </c>
      <c r="BK229" s="11">
        <v>856</v>
      </c>
      <c r="BL229" s="16">
        <v>252.28284500000001</v>
      </c>
      <c r="BM229" s="10">
        <v>45555</v>
      </c>
      <c r="BN229" s="10">
        <v>45642</v>
      </c>
      <c r="BO229" s="10"/>
      <c r="BP229" s="16"/>
      <c r="BQ229" s="16"/>
      <c r="BR229" s="9"/>
      <c r="BS229" s="9"/>
      <c r="BT229" s="9"/>
      <c r="BU229" s="9"/>
      <c r="BV229" s="9"/>
      <c r="BW229" s="10"/>
      <c r="BX229" s="15" t="s">
        <v>2960</v>
      </c>
      <c r="BY229" s="10"/>
      <c r="BZ229" s="10"/>
      <c r="CA229" s="10"/>
      <c r="CC229" s="9" t="s">
        <v>308</v>
      </c>
      <c r="CD229" s="9" t="s">
        <v>309</v>
      </c>
    </row>
    <row r="230" spans="1:82">
      <c r="A230" s="8">
        <v>27428</v>
      </c>
      <c r="B230" s="9" t="s">
        <v>824</v>
      </c>
      <c r="C230" s="9" t="s">
        <v>1257</v>
      </c>
      <c r="D230" s="10">
        <v>45539</v>
      </c>
      <c r="E230" s="9" t="s">
        <v>2961</v>
      </c>
      <c r="F230" s="9" t="s">
        <v>826</v>
      </c>
      <c r="G230" s="9" t="s">
        <v>2962</v>
      </c>
      <c r="H230" s="9" t="s">
        <v>281</v>
      </c>
      <c r="I230" s="9" t="s">
        <v>282</v>
      </c>
      <c r="J230" s="9" t="s">
        <v>283</v>
      </c>
      <c r="K230" s="9" t="s">
        <v>284</v>
      </c>
      <c r="L230" s="9" t="s">
        <v>2963</v>
      </c>
      <c r="M230" s="9" t="s">
        <v>2964</v>
      </c>
      <c r="N230" s="8">
        <v>1</v>
      </c>
      <c r="O230" s="9" t="s">
        <v>2965</v>
      </c>
      <c r="P230" s="11">
        <v>150.93</v>
      </c>
      <c r="Q230" s="11">
        <v>125</v>
      </c>
      <c r="R230" s="11">
        <v>125</v>
      </c>
      <c r="S230" s="11">
        <v>1263.3</v>
      </c>
      <c r="T230" s="11">
        <v>190669.86900000001</v>
      </c>
      <c r="U230" s="12">
        <v>5.3999999999999999E-2</v>
      </c>
      <c r="V230" s="12">
        <v>0.86099999999999999</v>
      </c>
      <c r="W230" s="11">
        <v>1222.7</v>
      </c>
      <c r="X230" s="9" t="s">
        <v>288</v>
      </c>
      <c r="Y230" s="10">
        <v>44957</v>
      </c>
      <c r="Z230" s="13">
        <v>0.13109999999999999</v>
      </c>
      <c r="AC230" s="9" t="s">
        <v>289</v>
      </c>
      <c r="AD230" s="9" t="s">
        <v>290</v>
      </c>
      <c r="AE230" s="8">
        <v>708.24779999999998</v>
      </c>
      <c r="AF230" s="14">
        <v>46.746760000000002</v>
      </c>
      <c r="AG230" s="14">
        <v>4.13605</v>
      </c>
      <c r="AH230" s="9" t="s">
        <v>483</v>
      </c>
      <c r="AI230" s="15" t="s">
        <v>319</v>
      </c>
      <c r="AJ230" s="9" t="s">
        <v>293</v>
      </c>
      <c r="AK230" s="9" t="s">
        <v>831</v>
      </c>
      <c r="AL230" s="9" t="s">
        <v>832</v>
      </c>
      <c r="AM230" s="9"/>
      <c r="AN230" s="9" t="s">
        <v>2966</v>
      </c>
      <c r="AO230" s="9"/>
      <c r="AP230" s="9" t="s">
        <v>2186</v>
      </c>
      <c r="AQ230" s="9" t="s">
        <v>1212</v>
      </c>
      <c r="AR230" t="b">
        <v>0</v>
      </c>
      <c r="AS230" s="10"/>
      <c r="AT230" s="10" t="s">
        <v>299</v>
      </c>
      <c r="AU230" s="9"/>
      <c r="AV230" t="b">
        <v>0</v>
      </c>
      <c r="AW230" s="12"/>
      <c r="AX230" s="11"/>
      <c r="AY230" s="9"/>
      <c r="AZ230" t="b">
        <v>0</v>
      </c>
      <c r="BA230" s="9"/>
      <c r="BB230" s="12"/>
      <c r="BC230" s="11"/>
      <c r="BD230" s="9" t="s">
        <v>300</v>
      </c>
      <c r="BE230" s="9" t="s">
        <v>47</v>
      </c>
      <c r="BF230" s="9" t="s">
        <v>1111</v>
      </c>
      <c r="BG230" s="9" t="s">
        <v>303</v>
      </c>
      <c r="BH230" s="9" t="s">
        <v>304</v>
      </c>
      <c r="BI230" s="9" t="s">
        <v>1267</v>
      </c>
      <c r="BJ230" s="9" t="s">
        <v>1268</v>
      </c>
      <c r="BK230" s="11">
        <v>856</v>
      </c>
      <c r="BL230" s="16">
        <v>120.49131</v>
      </c>
      <c r="BM230" s="10">
        <v>45555</v>
      </c>
      <c r="BN230" s="10">
        <v>45735</v>
      </c>
      <c r="BO230" s="10"/>
      <c r="BP230" s="16"/>
      <c r="BQ230" s="16"/>
      <c r="BR230" s="9"/>
      <c r="BS230" s="9"/>
      <c r="BT230" s="9"/>
      <c r="BU230" s="9"/>
      <c r="BV230" s="9"/>
      <c r="BW230" s="10"/>
      <c r="BX230" s="15" t="s">
        <v>2967</v>
      </c>
      <c r="BY230" s="10"/>
      <c r="BZ230" s="10"/>
      <c r="CA230" s="10"/>
      <c r="CC230" s="9" t="s">
        <v>308</v>
      </c>
      <c r="CD230" s="9" t="s">
        <v>309</v>
      </c>
    </row>
    <row r="231" spans="1:82" ht="29.1">
      <c r="A231" s="8">
        <v>27049</v>
      </c>
      <c r="B231" s="9" t="s">
        <v>2968</v>
      </c>
      <c r="C231" s="9" t="s">
        <v>1257</v>
      </c>
      <c r="D231" s="10">
        <v>45537</v>
      </c>
      <c r="E231" s="9" t="s">
        <v>2969</v>
      </c>
      <c r="F231" s="9" t="s">
        <v>2970</v>
      </c>
      <c r="G231" s="9" t="s">
        <v>2971</v>
      </c>
      <c r="H231" s="9" t="s">
        <v>479</v>
      </c>
      <c r="I231" s="9" t="s">
        <v>282</v>
      </c>
      <c r="J231" s="9" t="s">
        <v>283</v>
      </c>
      <c r="K231" s="9" t="s">
        <v>284</v>
      </c>
      <c r="L231" s="9" t="s">
        <v>2972</v>
      </c>
      <c r="M231" s="9" t="s">
        <v>2973</v>
      </c>
      <c r="N231" s="8">
        <v>1</v>
      </c>
      <c r="O231" s="9" t="s">
        <v>2974</v>
      </c>
      <c r="P231" s="11">
        <v>351.09</v>
      </c>
      <c r="Q231" s="11">
        <v>330</v>
      </c>
      <c r="R231" s="11">
        <v>249.99</v>
      </c>
      <c r="S231" s="11">
        <v>1168.83</v>
      </c>
      <c r="T231" s="11">
        <v>410364.52470000001</v>
      </c>
      <c r="U231" s="12">
        <v>5.3999999999999999E-2</v>
      </c>
      <c r="V231" s="12">
        <v>0.874</v>
      </c>
      <c r="W231" s="11">
        <v>1177.5</v>
      </c>
      <c r="X231" s="9" t="s">
        <v>288</v>
      </c>
      <c r="Y231" s="10">
        <v>44712</v>
      </c>
      <c r="Z231" s="13">
        <v>0.13120000000000001</v>
      </c>
      <c r="AC231" s="9" t="s">
        <v>289</v>
      </c>
      <c r="AD231" s="9" t="s">
        <v>290</v>
      </c>
      <c r="AE231" s="8">
        <v>1638.5937100000001</v>
      </c>
      <c r="AF231" s="14">
        <v>45.41686</v>
      </c>
      <c r="AG231" s="14">
        <v>2.7314799999999999</v>
      </c>
      <c r="AH231" s="9" t="s">
        <v>483</v>
      </c>
      <c r="AI231" s="15" t="s">
        <v>2975</v>
      </c>
      <c r="AJ231" s="9" t="s">
        <v>293</v>
      </c>
      <c r="AK231" s="9" t="s">
        <v>2976</v>
      </c>
      <c r="AL231" s="9" t="s">
        <v>2977</v>
      </c>
      <c r="AM231" s="9"/>
      <c r="AN231" s="9" t="s">
        <v>2978</v>
      </c>
      <c r="AO231" s="9" t="s">
        <v>2979</v>
      </c>
      <c r="AP231" s="9" t="s">
        <v>1212</v>
      </c>
      <c r="AQ231" s="9" t="s">
        <v>1212</v>
      </c>
      <c r="AR231" t="b">
        <v>1</v>
      </c>
      <c r="AS231" s="10">
        <v>45657</v>
      </c>
      <c r="AT231" s="10">
        <v>46022</v>
      </c>
      <c r="AU231" s="9" t="s">
        <v>1139</v>
      </c>
      <c r="AV231" t="b">
        <v>1</v>
      </c>
      <c r="AW231" s="12"/>
      <c r="AX231" s="11">
        <v>5490</v>
      </c>
      <c r="AY231" s="9" t="s">
        <v>471</v>
      </c>
      <c r="AZ231" t="b">
        <v>1</v>
      </c>
      <c r="BA231" s="9" t="s">
        <v>472</v>
      </c>
      <c r="BB231" s="12"/>
      <c r="BC231" s="11">
        <v>5490</v>
      </c>
      <c r="BD231" s="9" t="s">
        <v>300</v>
      </c>
      <c r="BE231" s="9" t="s">
        <v>47</v>
      </c>
      <c r="BF231" s="9" t="s">
        <v>702</v>
      </c>
      <c r="BG231" s="9" t="s">
        <v>303</v>
      </c>
      <c r="BH231" s="9" t="s">
        <v>304</v>
      </c>
      <c r="BI231" s="9" t="s">
        <v>1267</v>
      </c>
      <c r="BJ231" s="9" t="s">
        <v>1268</v>
      </c>
      <c r="BK231" s="11">
        <v>856</v>
      </c>
      <c r="BL231" s="16">
        <v>193.95003</v>
      </c>
      <c r="BM231" s="10">
        <v>45583</v>
      </c>
      <c r="BN231" s="10">
        <v>45709</v>
      </c>
      <c r="BO231" s="10"/>
      <c r="BP231" s="16"/>
      <c r="BQ231" s="16"/>
      <c r="BR231" s="9" t="s">
        <v>2980</v>
      </c>
      <c r="BS231" s="9" t="s">
        <v>2981</v>
      </c>
      <c r="BT231" s="9" t="s">
        <v>2982</v>
      </c>
      <c r="BU231" s="9" t="s">
        <v>2970</v>
      </c>
      <c r="BV231" s="9" t="s">
        <v>2983</v>
      </c>
      <c r="BW231" s="10"/>
      <c r="BX231" s="15" t="s">
        <v>2984</v>
      </c>
      <c r="BY231" s="10"/>
      <c r="BZ231" s="10"/>
      <c r="CA231" s="10"/>
      <c r="CC231" s="9" t="s">
        <v>308</v>
      </c>
      <c r="CD231" s="9" t="s">
        <v>309</v>
      </c>
    </row>
    <row r="232" spans="1:82" ht="43.5">
      <c r="A232" s="8">
        <v>29279</v>
      </c>
      <c r="B232" s="9" t="s">
        <v>2985</v>
      </c>
      <c r="C232" s="9" t="s">
        <v>1257</v>
      </c>
      <c r="D232" s="10">
        <v>45531</v>
      </c>
      <c r="E232" s="9" t="s">
        <v>2986</v>
      </c>
      <c r="F232" s="9" t="s">
        <v>2987</v>
      </c>
      <c r="G232" s="9" t="s">
        <v>2988</v>
      </c>
      <c r="H232" s="9" t="s">
        <v>281</v>
      </c>
      <c r="I232" s="9" t="s">
        <v>282</v>
      </c>
      <c r="J232" s="9" t="s">
        <v>283</v>
      </c>
      <c r="K232" s="9" t="s">
        <v>284</v>
      </c>
      <c r="L232" s="9" t="s">
        <v>2989</v>
      </c>
      <c r="M232" s="9" t="s">
        <v>2990</v>
      </c>
      <c r="N232" s="8">
        <v>1</v>
      </c>
      <c r="O232" s="9" t="s">
        <v>2991</v>
      </c>
      <c r="P232" s="11">
        <v>235.21</v>
      </c>
      <c r="Q232" s="11">
        <v>220</v>
      </c>
      <c r="R232" s="11">
        <v>185.8</v>
      </c>
      <c r="S232" s="11">
        <v>1189</v>
      </c>
      <c r="T232" s="11">
        <v>279664.69</v>
      </c>
      <c r="U232" s="12">
        <v>5.3999999999999999E-2</v>
      </c>
      <c r="V232" s="12">
        <v>0.86</v>
      </c>
      <c r="W232" s="11">
        <v>1210.0999999999999</v>
      </c>
      <c r="X232" s="9" t="s">
        <v>288</v>
      </c>
      <c r="Y232" s="10">
        <v>44896</v>
      </c>
      <c r="Z232" s="13">
        <v>0.13109999999999999</v>
      </c>
      <c r="AC232" s="9" t="s">
        <v>289</v>
      </c>
      <c r="AD232" s="9" t="s">
        <v>290</v>
      </c>
      <c r="AE232" s="8">
        <v>1064.385</v>
      </c>
      <c r="AF232" s="14">
        <v>43.368929999999999</v>
      </c>
      <c r="AG232" s="14">
        <v>-1.1994400000000001</v>
      </c>
      <c r="AH232" s="9" t="s">
        <v>483</v>
      </c>
      <c r="AI232" s="15" t="s">
        <v>319</v>
      </c>
      <c r="AJ232" s="9" t="s">
        <v>293</v>
      </c>
      <c r="AK232" s="9" t="s">
        <v>2992</v>
      </c>
      <c r="AL232" s="9" t="s">
        <v>2993</v>
      </c>
      <c r="AM232" s="9"/>
      <c r="AN232" s="9" t="s">
        <v>2994</v>
      </c>
      <c r="AO232" s="9"/>
      <c r="AP232" s="9" t="s">
        <v>43</v>
      </c>
      <c r="AQ232" s="9" t="s">
        <v>847</v>
      </c>
      <c r="AR232" t="b">
        <v>0</v>
      </c>
      <c r="AS232" s="10"/>
      <c r="AT232" s="10" t="s">
        <v>299</v>
      </c>
      <c r="AU232" s="9"/>
      <c r="AV232" t="b">
        <v>0</v>
      </c>
      <c r="AW232" s="12"/>
      <c r="AX232" s="11"/>
      <c r="AY232" s="9"/>
      <c r="AZ232" t="b">
        <v>0</v>
      </c>
      <c r="BA232" s="9"/>
      <c r="BB232" s="12"/>
      <c r="BC232" s="11"/>
      <c r="BD232" s="9" t="s">
        <v>325</v>
      </c>
      <c r="BE232" s="9" t="s">
        <v>47</v>
      </c>
      <c r="BF232" s="9" t="s">
        <v>1111</v>
      </c>
      <c r="BG232" s="9" t="s">
        <v>749</v>
      </c>
      <c r="BH232" s="9" t="s">
        <v>304</v>
      </c>
      <c r="BI232" s="9" t="s">
        <v>1267</v>
      </c>
      <c r="BJ232" s="9" t="s">
        <v>1268</v>
      </c>
      <c r="BK232" s="11">
        <v>856</v>
      </c>
      <c r="BL232" s="16">
        <v>151.42206999999999</v>
      </c>
      <c r="BM232" s="10">
        <v>45622</v>
      </c>
      <c r="BN232" s="10">
        <v>45792</v>
      </c>
      <c r="BO232" s="10"/>
      <c r="BP232" s="16"/>
      <c r="BQ232" s="16"/>
      <c r="BR232" s="9"/>
      <c r="BS232" s="9"/>
      <c r="BT232" s="9"/>
      <c r="BU232" s="9"/>
      <c r="BV232" s="9"/>
      <c r="BW232" s="10"/>
      <c r="BX232" s="15" t="s">
        <v>2995</v>
      </c>
      <c r="BY232" s="10"/>
      <c r="BZ232" s="10"/>
      <c r="CA232" s="10"/>
      <c r="CC232" s="9" t="s">
        <v>308</v>
      </c>
      <c r="CD232" s="9" t="s">
        <v>309</v>
      </c>
    </row>
    <row r="233" spans="1:82">
      <c r="A233" s="8">
        <v>32331</v>
      </c>
      <c r="B233" s="9" t="s">
        <v>2996</v>
      </c>
      <c r="C233" s="9" t="s">
        <v>475</v>
      </c>
      <c r="D233" s="10">
        <v>45531</v>
      </c>
      <c r="E233" s="9" t="s">
        <v>2997</v>
      </c>
      <c r="F233" s="9" t="s">
        <v>813</v>
      </c>
      <c r="G233" s="9" t="s">
        <v>814</v>
      </c>
      <c r="H233" s="9" t="s">
        <v>315</v>
      </c>
      <c r="I233" s="9" t="s">
        <v>282</v>
      </c>
      <c r="J233" s="9" t="s">
        <v>283</v>
      </c>
      <c r="K233" s="9" t="s">
        <v>284</v>
      </c>
      <c r="L233" s="9" t="s">
        <v>2998</v>
      </c>
      <c r="M233" s="9" t="s">
        <v>2999</v>
      </c>
      <c r="N233" s="8">
        <v>1</v>
      </c>
      <c r="O233" s="9" t="s">
        <v>3000</v>
      </c>
      <c r="P233" s="11">
        <v>198.85</v>
      </c>
      <c r="Q233" s="11">
        <v>220</v>
      </c>
      <c r="R233" s="11">
        <v>182</v>
      </c>
      <c r="S233" s="11">
        <v>1343.78</v>
      </c>
      <c r="T233" s="11">
        <v>267210.65299999999</v>
      </c>
      <c r="U233" s="12">
        <v>5.2999999999999999E-2</v>
      </c>
      <c r="V233" s="12">
        <v>0.84599999999999997</v>
      </c>
      <c r="W233" s="11">
        <v>1332.8</v>
      </c>
      <c r="X233" s="9" t="s">
        <v>288</v>
      </c>
      <c r="Y233" s="10">
        <v>44551</v>
      </c>
      <c r="Z233" s="13">
        <v>0.12280000000000001</v>
      </c>
      <c r="AC233" s="9" t="s">
        <v>289</v>
      </c>
      <c r="AD233" s="9" t="s">
        <v>290</v>
      </c>
      <c r="AE233" s="8">
        <v>947.08277999999996</v>
      </c>
      <c r="AF233" s="14">
        <v>4.7851600000000003</v>
      </c>
      <c r="AG233" s="14">
        <v>43.57591</v>
      </c>
      <c r="AH233" s="9" t="s">
        <v>483</v>
      </c>
      <c r="AI233" s="15" t="s">
        <v>3001</v>
      </c>
      <c r="AJ233" s="9" t="s">
        <v>293</v>
      </c>
      <c r="AK233" s="9" t="s">
        <v>3002</v>
      </c>
      <c r="AL233" s="9" t="s">
        <v>3003</v>
      </c>
      <c r="AM233" s="9"/>
      <c r="AN233" s="9" t="s">
        <v>3004</v>
      </c>
      <c r="AO233" s="9"/>
      <c r="AP233" s="9" t="s">
        <v>108</v>
      </c>
      <c r="AQ233" s="9" t="s">
        <v>341</v>
      </c>
      <c r="AR233" t="b">
        <v>1</v>
      </c>
      <c r="AS233" s="10">
        <v>45657</v>
      </c>
      <c r="AT233" s="10">
        <v>46022</v>
      </c>
      <c r="AU233" s="9" t="s">
        <v>470</v>
      </c>
      <c r="AV233" t="b">
        <v>0</v>
      </c>
      <c r="AW233" s="12"/>
      <c r="AX233" s="11">
        <v>5000</v>
      </c>
      <c r="AY233" s="9" t="s">
        <v>471</v>
      </c>
      <c r="AZ233" t="b">
        <v>1</v>
      </c>
      <c r="BA233" s="9" t="s">
        <v>472</v>
      </c>
      <c r="BB233" s="12"/>
      <c r="BC233" s="11">
        <v>5000</v>
      </c>
      <c r="BD233" s="9" t="s">
        <v>300</v>
      </c>
      <c r="BE233" s="9" t="s">
        <v>47</v>
      </c>
      <c r="BF233" s="9" t="s">
        <v>356</v>
      </c>
      <c r="BG233" s="9" t="s">
        <v>967</v>
      </c>
      <c r="BH233" s="9" t="s">
        <v>304</v>
      </c>
      <c r="BI233" s="9" t="s">
        <v>490</v>
      </c>
      <c r="BJ233" s="9" t="s">
        <v>491</v>
      </c>
      <c r="BK233" s="11">
        <v>856</v>
      </c>
      <c r="BL233" s="16">
        <v>138.07794999999999</v>
      </c>
      <c r="BM233" s="10">
        <v>45712</v>
      </c>
      <c r="BN233" s="10">
        <v>45727</v>
      </c>
      <c r="BO233" s="10"/>
      <c r="BP233" s="16"/>
      <c r="BQ233" s="16"/>
      <c r="BR233" s="9" t="s">
        <v>3005</v>
      </c>
      <c r="BS233" s="9" t="s">
        <v>2997</v>
      </c>
      <c r="BT233" s="9" t="s">
        <v>3006</v>
      </c>
      <c r="BU233" s="9" t="s">
        <v>813</v>
      </c>
      <c r="BV233" s="9"/>
      <c r="BW233" s="10"/>
      <c r="BX233" s="15" t="s">
        <v>3007</v>
      </c>
      <c r="BY233" s="10"/>
      <c r="BZ233" s="10"/>
      <c r="CA233" s="10"/>
      <c r="CC233" s="9" t="s">
        <v>308</v>
      </c>
      <c r="CD233" s="9" t="s">
        <v>309</v>
      </c>
    </row>
    <row r="234" spans="1:82">
      <c r="A234" s="8">
        <v>59746</v>
      </c>
      <c r="B234" s="9" t="s">
        <v>3008</v>
      </c>
      <c r="C234" s="9" t="s">
        <v>1257</v>
      </c>
      <c r="D234" s="10">
        <v>45531</v>
      </c>
      <c r="E234" s="9" t="s">
        <v>3009</v>
      </c>
      <c r="F234" s="9" t="s">
        <v>3010</v>
      </c>
      <c r="G234" s="9" t="s">
        <v>3011</v>
      </c>
      <c r="H234" s="9" t="s">
        <v>281</v>
      </c>
      <c r="I234" s="9" t="s">
        <v>282</v>
      </c>
      <c r="J234" s="9" t="s">
        <v>283</v>
      </c>
      <c r="K234" s="9" t="s">
        <v>284</v>
      </c>
      <c r="L234" s="9" t="s">
        <v>3012</v>
      </c>
      <c r="M234" s="9" t="s">
        <v>3013</v>
      </c>
      <c r="N234" s="8">
        <v>1</v>
      </c>
      <c r="O234" s="9" t="s">
        <v>3014</v>
      </c>
      <c r="P234" s="11">
        <v>112.05</v>
      </c>
      <c r="Q234" s="11">
        <v>110</v>
      </c>
      <c r="R234" s="11">
        <v>80</v>
      </c>
      <c r="S234" s="11">
        <v>1187.29</v>
      </c>
      <c r="T234" s="11">
        <v>133035.84450000001</v>
      </c>
      <c r="U234" s="12">
        <v>5.3999999999999999E-2</v>
      </c>
      <c r="V234" s="12">
        <v>0.85899999999999999</v>
      </c>
      <c r="W234" s="11">
        <v>1184.4000000000001</v>
      </c>
      <c r="X234" s="9" t="s">
        <v>288</v>
      </c>
      <c r="Y234" s="10">
        <v>45019</v>
      </c>
      <c r="Z234" s="13">
        <v>0.1313</v>
      </c>
      <c r="AC234" s="9" t="s">
        <v>1754</v>
      </c>
      <c r="AD234" s="9" t="s">
        <v>1755</v>
      </c>
      <c r="AE234" s="8">
        <v>522.95543999999995</v>
      </c>
      <c r="AF234" s="14">
        <v>46.888759999999998</v>
      </c>
      <c r="AG234" s="14">
        <v>-0.21154000000000001</v>
      </c>
      <c r="AH234" s="9" t="s">
        <v>483</v>
      </c>
      <c r="AI234" s="15" t="s">
        <v>319</v>
      </c>
      <c r="AJ234" s="9" t="s">
        <v>293</v>
      </c>
      <c r="AK234" s="9" t="s">
        <v>3015</v>
      </c>
      <c r="AL234" s="9" t="s">
        <v>3016</v>
      </c>
      <c r="AM234" s="9"/>
      <c r="AN234" s="9" t="s">
        <v>3017</v>
      </c>
      <c r="AO234" s="9"/>
      <c r="AP234" s="9" t="s">
        <v>597</v>
      </c>
      <c r="AQ234" s="9" t="s">
        <v>3018</v>
      </c>
      <c r="AR234" t="b">
        <v>0</v>
      </c>
      <c r="AS234" s="10"/>
      <c r="AT234" s="10" t="s">
        <v>299</v>
      </c>
      <c r="AU234" s="9"/>
      <c r="AV234" t="b">
        <v>0</v>
      </c>
      <c r="AW234" s="12"/>
      <c r="AX234" s="11"/>
      <c r="AY234" s="9"/>
      <c r="AZ234" t="b">
        <v>0</v>
      </c>
      <c r="BA234" s="9"/>
      <c r="BB234" s="12"/>
      <c r="BC234" s="11"/>
      <c r="BD234" s="9" t="s">
        <v>300</v>
      </c>
      <c r="BE234" s="9" t="s">
        <v>47</v>
      </c>
      <c r="BF234" s="9" t="s">
        <v>302</v>
      </c>
      <c r="BG234" s="9" t="s">
        <v>529</v>
      </c>
      <c r="BH234" s="9" t="s">
        <v>304</v>
      </c>
      <c r="BI234" s="9" t="s">
        <v>1267</v>
      </c>
      <c r="BJ234" s="9" t="s">
        <v>1268</v>
      </c>
      <c r="BK234" s="11">
        <v>856</v>
      </c>
      <c r="BL234" s="16">
        <v>106.22235000000001</v>
      </c>
      <c r="BM234" s="10">
        <v>45562</v>
      </c>
      <c r="BN234" s="10">
        <v>45777</v>
      </c>
      <c r="BO234" s="10"/>
      <c r="BP234" s="16"/>
      <c r="BQ234" s="16"/>
      <c r="BR234" s="9"/>
      <c r="BS234" s="9"/>
      <c r="BT234" s="9"/>
      <c r="BU234" s="9"/>
      <c r="BV234" s="9"/>
      <c r="BW234" s="10"/>
      <c r="BX234" s="15" t="s">
        <v>3019</v>
      </c>
      <c r="BY234" s="10">
        <v>45531</v>
      </c>
      <c r="BZ234" s="10">
        <v>52836</v>
      </c>
      <c r="CA234" s="10">
        <v>45741</v>
      </c>
      <c r="CC234" s="9" t="s">
        <v>308</v>
      </c>
      <c r="CD234" s="9" t="s">
        <v>309</v>
      </c>
    </row>
    <row r="235" spans="1:82">
      <c r="A235" s="8">
        <v>33548</v>
      </c>
      <c r="B235" s="9" t="s">
        <v>2811</v>
      </c>
      <c r="C235" s="9" t="s">
        <v>475</v>
      </c>
      <c r="D235" s="10">
        <v>45524</v>
      </c>
      <c r="E235" s="9" t="s">
        <v>3020</v>
      </c>
      <c r="F235" s="9" t="s">
        <v>2813</v>
      </c>
      <c r="G235" s="9" t="s">
        <v>3021</v>
      </c>
      <c r="H235" s="9" t="s">
        <v>281</v>
      </c>
      <c r="I235" s="9" t="s">
        <v>282</v>
      </c>
      <c r="J235" s="9" t="s">
        <v>283</v>
      </c>
      <c r="K235" s="9" t="s">
        <v>284</v>
      </c>
      <c r="L235" s="9" t="s">
        <v>3022</v>
      </c>
      <c r="M235" s="9" t="s">
        <v>3023</v>
      </c>
      <c r="N235" s="8">
        <v>1</v>
      </c>
      <c r="O235" s="9" t="s">
        <v>3024</v>
      </c>
      <c r="P235" s="11">
        <v>175.96</v>
      </c>
      <c r="Q235" s="11">
        <v>165</v>
      </c>
      <c r="R235" s="11">
        <v>117</v>
      </c>
      <c r="S235" s="11">
        <v>1028.76</v>
      </c>
      <c r="T235" s="11">
        <v>181020.6096</v>
      </c>
      <c r="U235" s="12">
        <v>5.2999999999999999E-2</v>
      </c>
      <c r="V235" s="12">
        <v>0.85799999999999998</v>
      </c>
      <c r="W235" s="11">
        <v>1163.8</v>
      </c>
      <c r="X235" s="9" t="s">
        <v>288</v>
      </c>
      <c r="Y235" s="10">
        <v>44532</v>
      </c>
      <c r="Z235" s="13">
        <v>0.12870000000000001</v>
      </c>
      <c r="AC235" s="9" t="s">
        <v>289</v>
      </c>
      <c r="AD235" s="9" t="s">
        <v>290</v>
      </c>
      <c r="AE235" s="8">
        <v>821.23373000000004</v>
      </c>
      <c r="AF235" s="14">
        <v>45.53546</v>
      </c>
      <c r="AG235" s="14">
        <v>5.45059</v>
      </c>
      <c r="AH235" s="9" t="s">
        <v>483</v>
      </c>
      <c r="AI235" s="15" t="s">
        <v>319</v>
      </c>
      <c r="AJ235" s="9" t="s">
        <v>293</v>
      </c>
      <c r="AK235" s="9" t="s">
        <v>2819</v>
      </c>
      <c r="AL235" s="9" t="s">
        <v>2820</v>
      </c>
      <c r="AM235" s="9"/>
      <c r="AN235" s="9" t="s">
        <v>3025</v>
      </c>
      <c r="AO235" s="9"/>
      <c r="AP235" s="9" t="s">
        <v>68</v>
      </c>
      <c r="AQ235" s="9" t="s">
        <v>298</v>
      </c>
      <c r="AR235" t="b">
        <v>0</v>
      </c>
      <c r="AS235" s="10"/>
      <c r="AT235" s="10" t="s">
        <v>299</v>
      </c>
      <c r="AU235" s="9"/>
      <c r="AV235" t="b">
        <v>0</v>
      </c>
      <c r="AW235" s="12"/>
      <c r="AX235" s="11"/>
      <c r="AY235" s="9"/>
      <c r="AZ235" t="b">
        <v>0</v>
      </c>
      <c r="BA235" s="9"/>
      <c r="BB235" s="12"/>
      <c r="BC235" s="11"/>
      <c r="BD235" s="9" t="s">
        <v>300</v>
      </c>
      <c r="BE235" s="9" t="s">
        <v>47</v>
      </c>
      <c r="BF235" s="9" t="s">
        <v>1111</v>
      </c>
      <c r="BG235" s="9" t="s">
        <v>967</v>
      </c>
      <c r="BH235" s="9" t="s">
        <v>304</v>
      </c>
      <c r="BI235" s="9" t="s">
        <v>490</v>
      </c>
      <c r="BJ235" s="9" t="s">
        <v>491</v>
      </c>
      <c r="BK235" s="11">
        <v>856</v>
      </c>
      <c r="BL235" s="16">
        <v>129.67732000000001</v>
      </c>
      <c r="BM235" s="10">
        <v>45600</v>
      </c>
      <c r="BN235" s="10">
        <v>45599</v>
      </c>
      <c r="BO235" s="10"/>
      <c r="BP235" s="16"/>
      <c r="BQ235" s="16"/>
      <c r="BR235" s="9"/>
      <c r="BS235" s="9"/>
      <c r="BT235" s="9"/>
      <c r="BU235" s="9"/>
      <c r="BV235" s="9"/>
      <c r="BW235" s="10"/>
      <c r="BX235" s="15" t="s">
        <v>626</v>
      </c>
      <c r="BY235" s="10"/>
      <c r="BZ235" s="10"/>
      <c r="CA235" s="10"/>
      <c r="CC235" s="9" t="s">
        <v>308</v>
      </c>
      <c r="CD235" s="9" t="s">
        <v>309</v>
      </c>
    </row>
    <row r="236" spans="1:82">
      <c r="A236" s="8">
        <v>70733</v>
      </c>
      <c r="B236" s="9" t="s">
        <v>1821</v>
      </c>
      <c r="C236" s="9" t="s">
        <v>475</v>
      </c>
      <c r="D236" s="10">
        <v>45523</v>
      </c>
      <c r="E236" s="9" t="s">
        <v>3026</v>
      </c>
      <c r="F236" s="9" t="s">
        <v>1823</v>
      </c>
      <c r="G236" s="9" t="s">
        <v>1824</v>
      </c>
      <c r="H236" s="9" t="s">
        <v>315</v>
      </c>
      <c r="I236" s="9" t="s">
        <v>282</v>
      </c>
      <c r="J236" s="9" t="s">
        <v>283</v>
      </c>
      <c r="K236" s="9" t="s">
        <v>284</v>
      </c>
      <c r="L236" s="9" t="s">
        <v>3027</v>
      </c>
      <c r="M236" s="9" t="s">
        <v>3028</v>
      </c>
      <c r="N236" s="8">
        <v>1</v>
      </c>
      <c r="O236" s="9" t="s">
        <v>3029</v>
      </c>
      <c r="P236" s="11">
        <v>195.16</v>
      </c>
      <c r="Q236" s="11">
        <v>198</v>
      </c>
      <c r="R236" s="11">
        <v>176</v>
      </c>
      <c r="S236" s="11">
        <v>1447.17</v>
      </c>
      <c r="T236" s="11">
        <v>282429.6972</v>
      </c>
      <c r="U236" s="12">
        <v>5.1999999999999998E-2</v>
      </c>
      <c r="V236" s="12">
        <v>0.84699999999999998</v>
      </c>
      <c r="W236" s="11">
        <v>1481.2</v>
      </c>
      <c r="X236" s="9" t="s">
        <v>288</v>
      </c>
      <c r="Y236" s="10">
        <v>44929</v>
      </c>
      <c r="Z236" s="13">
        <v>0.12870000000000001</v>
      </c>
      <c r="AC236" s="9" t="s">
        <v>289</v>
      </c>
      <c r="AD236" s="9" t="s">
        <v>290</v>
      </c>
      <c r="AE236" s="8">
        <v>929.50805000000003</v>
      </c>
      <c r="AF236" s="14">
        <v>43.193689999999997</v>
      </c>
      <c r="AG236" s="14">
        <v>6.0797600000000003</v>
      </c>
      <c r="AH236" s="9" t="s">
        <v>483</v>
      </c>
      <c r="AI236" s="15" t="s">
        <v>319</v>
      </c>
      <c r="AJ236" s="9" t="s">
        <v>293</v>
      </c>
      <c r="AK236" s="9" t="s">
        <v>1829</v>
      </c>
      <c r="AL236" s="9" t="s">
        <v>1831</v>
      </c>
      <c r="AM236" s="9" t="s">
        <v>3030</v>
      </c>
      <c r="AN236" s="9" t="s">
        <v>3031</v>
      </c>
      <c r="AO236" s="9"/>
      <c r="AP236" s="9" t="s">
        <v>108</v>
      </c>
      <c r="AQ236" s="9" t="s">
        <v>1053</v>
      </c>
      <c r="AR236" t="b">
        <v>1</v>
      </c>
      <c r="AS236" s="10">
        <v>45657</v>
      </c>
      <c r="AT236" s="10">
        <v>46022</v>
      </c>
      <c r="AU236" s="9" t="s">
        <v>1139</v>
      </c>
      <c r="AV236" t="b">
        <v>0</v>
      </c>
      <c r="AW236" s="12"/>
      <c r="AX236" s="11">
        <v>8000</v>
      </c>
      <c r="AY236" s="9" t="s">
        <v>471</v>
      </c>
      <c r="AZ236" t="b">
        <v>1</v>
      </c>
      <c r="BA236" s="9" t="s">
        <v>472</v>
      </c>
      <c r="BB236" s="12"/>
      <c r="BC236" s="11">
        <v>8000</v>
      </c>
      <c r="BD236" s="9" t="s">
        <v>300</v>
      </c>
      <c r="BE236" s="9" t="s">
        <v>47</v>
      </c>
      <c r="BF236" s="9" t="s">
        <v>690</v>
      </c>
      <c r="BG236" s="9" t="s">
        <v>967</v>
      </c>
      <c r="BH236" s="9" t="s">
        <v>304</v>
      </c>
      <c r="BI236" s="9" t="s">
        <v>490</v>
      </c>
      <c r="BJ236" s="9" t="s">
        <v>491</v>
      </c>
      <c r="BK236" s="11">
        <v>856</v>
      </c>
      <c r="BL236" s="16">
        <v>136.72371999999999</v>
      </c>
      <c r="BM236" s="10">
        <v>45540</v>
      </c>
      <c r="BN236" s="10">
        <v>45640</v>
      </c>
      <c r="BO236" s="10"/>
      <c r="BP236" s="16"/>
      <c r="BQ236" s="16"/>
      <c r="BR236" s="9" t="s">
        <v>3032</v>
      </c>
      <c r="BS236" s="9" t="s">
        <v>3033</v>
      </c>
      <c r="BT236" s="9" t="s">
        <v>3034</v>
      </c>
      <c r="BU236" s="9" t="s">
        <v>1823</v>
      </c>
      <c r="BV236" s="9"/>
      <c r="BW236" s="10"/>
      <c r="BX236" s="15" t="s">
        <v>3035</v>
      </c>
      <c r="BY236" s="10"/>
      <c r="BZ236" s="10"/>
      <c r="CA236" s="10"/>
      <c r="CC236" s="9" t="s">
        <v>308</v>
      </c>
      <c r="CD236" s="9" t="s">
        <v>309</v>
      </c>
    </row>
    <row r="237" spans="1:82">
      <c r="A237" s="8">
        <v>12679</v>
      </c>
      <c r="B237" s="9" t="s">
        <v>3036</v>
      </c>
      <c r="C237" s="9" t="s">
        <v>475</v>
      </c>
      <c r="D237" s="10">
        <v>45511</v>
      </c>
      <c r="E237" s="9" t="s">
        <v>3037</v>
      </c>
      <c r="F237" s="9" t="s">
        <v>3038</v>
      </c>
      <c r="G237" s="9" t="s">
        <v>3039</v>
      </c>
      <c r="H237" s="9" t="s">
        <v>479</v>
      </c>
      <c r="I237" s="9" t="s">
        <v>282</v>
      </c>
      <c r="J237" s="9" t="s">
        <v>283</v>
      </c>
      <c r="K237" s="9" t="s">
        <v>284</v>
      </c>
      <c r="L237" s="9" t="s">
        <v>3040</v>
      </c>
      <c r="M237" s="9" t="s">
        <v>3041</v>
      </c>
      <c r="N237" s="8">
        <v>1</v>
      </c>
      <c r="O237" s="9" t="s">
        <v>3042</v>
      </c>
      <c r="P237" s="11">
        <v>412.8</v>
      </c>
      <c r="Q237" s="11">
        <v>308</v>
      </c>
      <c r="R237" s="11">
        <v>308</v>
      </c>
      <c r="S237" s="11">
        <v>1180.7329999999999</v>
      </c>
      <c r="T237" s="11">
        <v>487406.58240000001</v>
      </c>
      <c r="U237" s="12">
        <v>5.2999999999999999E-2</v>
      </c>
      <c r="V237" s="12">
        <v>0.85899999999999999</v>
      </c>
      <c r="W237" s="11">
        <v>1197.9000000000001</v>
      </c>
      <c r="X237" s="9" t="s">
        <v>288</v>
      </c>
      <c r="Y237" s="10">
        <v>44708</v>
      </c>
      <c r="Z237" s="13">
        <v>0.13120000000000001</v>
      </c>
      <c r="AC237" s="9" t="s">
        <v>289</v>
      </c>
      <c r="AD237" s="9" t="s">
        <v>290</v>
      </c>
      <c r="AE237" s="8">
        <v>1900.25</v>
      </c>
      <c r="AF237" s="14">
        <v>44.91263</v>
      </c>
      <c r="AG237" s="14">
        <v>2.5013239999999999</v>
      </c>
      <c r="AH237" s="9" t="s">
        <v>483</v>
      </c>
      <c r="AI237" s="15" t="s">
        <v>1591</v>
      </c>
      <c r="AJ237" s="9" t="s">
        <v>293</v>
      </c>
      <c r="AK237" s="9" t="s">
        <v>3043</v>
      </c>
      <c r="AL237" s="9" t="s">
        <v>3044</v>
      </c>
      <c r="AM237" s="9"/>
      <c r="AN237" s="9" t="s">
        <v>3045</v>
      </c>
      <c r="AO237" s="9"/>
      <c r="AP237" s="9" t="s">
        <v>2521</v>
      </c>
      <c r="AQ237" s="9" t="s">
        <v>298</v>
      </c>
      <c r="AR237" t="b">
        <v>0</v>
      </c>
      <c r="AS237" s="10"/>
      <c r="AT237" s="10" t="s">
        <v>299</v>
      </c>
      <c r="AU237" s="9"/>
      <c r="AV237" t="b">
        <v>0</v>
      </c>
      <c r="AW237" s="12"/>
      <c r="AX237" s="11"/>
      <c r="AY237" s="9"/>
      <c r="AZ237" t="b">
        <v>0</v>
      </c>
      <c r="BA237" s="9"/>
      <c r="BB237" s="12"/>
      <c r="BC237" s="11"/>
      <c r="BD237" s="9" t="s">
        <v>325</v>
      </c>
      <c r="BE237" s="9" t="s">
        <v>47</v>
      </c>
      <c r="BF237" s="9" t="s">
        <v>702</v>
      </c>
      <c r="BG237" s="9" t="s">
        <v>738</v>
      </c>
      <c r="BH237" s="9" t="s">
        <v>304</v>
      </c>
      <c r="BI237" s="9" t="s">
        <v>490</v>
      </c>
      <c r="BJ237" s="9" t="s">
        <v>491</v>
      </c>
      <c r="BK237" s="11">
        <v>856</v>
      </c>
      <c r="BL237" s="16">
        <v>216.5976</v>
      </c>
      <c r="BM237" s="10">
        <v>45713</v>
      </c>
      <c r="BN237" s="10">
        <v>45791</v>
      </c>
      <c r="BO237" s="10"/>
      <c r="BP237" s="16"/>
      <c r="BQ237" s="16"/>
      <c r="BR237" s="9" t="s">
        <v>3046</v>
      </c>
      <c r="BS237" s="9"/>
      <c r="BT237" s="9" t="s">
        <v>3039</v>
      </c>
      <c r="BU237" s="9" t="s">
        <v>3038</v>
      </c>
      <c r="BV237" s="9"/>
      <c r="BW237" s="10">
        <v>56468</v>
      </c>
      <c r="BX237" s="15" t="s">
        <v>2155</v>
      </c>
      <c r="BY237" s="10">
        <v>45511</v>
      </c>
      <c r="BZ237" s="10">
        <v>52816</v>
      </c>
      <c r="CA237" s="10"/>
      <c r="CC237" s="9" t="s">
        <v>308</v>
      </c>
      <c r="CD237" s="9" t="s">
        <v>309</v>
      </c>
    </row>
    <row r="238" spans="1:82">
      <c r="A238" s="8">
        <v>88992</v>
      </c>
      <c r="B238" s="9" t="s">
        <v>3047</v>
      </c>
      <c r="C238" s="9" t="s">
        <v>475</v>
      </c>
      <c r="D238" s="10">
        <v>45509</v>
      </c>
      <c r="E238" s="9" t="s">
        <v>3048</v>
      </c>
      <c r="F238" s="9" t="s">
        <v>2764</v>
      </c>
      <c r="G238" s="9" t="s">
        <v>3049</v>
      </c>
      <c r="H238" s="9" t="s">
        <v>479</v>
      </c>
      <c r="I238" s="9" t="s">
        <v>282</v>
      </c>
      <c r="J238" s="9" t="s">
        <v>283</v>
      </c>
      <c r="K238" s="9" t="s">
        <v>284</v>
      </c>
      <c r="L238" s="9" t="s">
        <v>3050</v>
      </c>
      <c r="M238" s="9" t="s">
        <v>3051</v>
      </c>
      <c r="N238" s="8">
        <v>1</v>
      </c>
      <c r="O238" s="9" t="s">
        <v>3052</v>
      </c>
      <c r="P238" s="11">
        <v>258.13</v>
      </c>
      <c r="Q238" s="11">
        <v>247.5</v>
      </c>
      <c r="R238" s="11">
        <v>249.9</v>
      </c>
      <c r="S238" s="11">
        <v>1349.05</v>
      </c>
      <c r="T238" s="11">
        <v>348230.27649999998</v>
      </c>
      <c r="U238" s="12">
        <v>5.2999999999999999E-2</v>
      </c>
      <c r="V238" s="12">
        <v>0.84299999999999997</v>
      </c>
      <c r="W238" s="11">
        <v>1326.2</v>
      </c>
      <c r="X238" s="9" t="s">
        <v>288</v>
      </c>
      <c r="Y238" s="10">
        <v>44664</v>
      </c>
      <c r="Z238" s="13">
        <v>0.12870000000000001</v>
      </c>
      <c r="AC238" s="9" t="s">
        <v>289</v>
      </c>
      <c r="AD238" s="9" t="s">
        <v>290</v>
      </c>
      <c r="AE238" s="8">
        <v>1205</v>
      </c>
      <c r="AF238" s="14">
        <v>44.156170000000003</v>
      </c>
      <c r="AG238" s="14">
        <v>6.2884799999999998</v>
      </c>
      <c r="AH238" s="9" t="s">
        <v>483</v>
      </c>
      <c r="AI238" s="15" t="s">
        <v>319</v>
      </c>
      <c r="AJ238" s="9" t="s">
        <v>293</v>
      </c>
      <c r="AK238" s="9" t="s">
        <v>3053</v>
      </c>
      <c r="AL238" s="9" t="s">
        <v>3054</v>
      </c>
      <c r="AM238" s="9"/>
      <c r="AN238" s="9" t="s">
        <v>3055</v>
      </c>
      <c r="AO238" s="9"/>
      <c r="AP238" s="9" t="s">
        <v>108</v>
      </c>
      <c r="AQ238" s="9" t="s">
        <v>298</v>
      </c>
      <c r="AR238" t="b">
        <v>1</v>
      </c>
      <c r="AS238" s="10">
        <v>45657</v>
      </c>
      <c r="AT238" s="10">
        <v>46022</v>
      </c>
      <c r="AU238" s="9" t="s">
        <v>1139</v>
      </c>
      <c r="AV238" t="b">
        <v>0</v>
      </c>
      <c r="AW238" s="12"/>
      <c r="AX238" s="11">
        <v>1000</v>
      </c>
      <c r="AY238" s="9" t="s">
        <v>471</v>
      </c>
      <c r="AZ238" t="b">
        <v>1</v>
      </c>
      <c r="BA238" s="9" t="s">
        <v>472</v>
      </c>
      <c r="BB238" s="12"/>
      <c r="BC238" s="11">
        <v>1000</v>
      </c>
      <c r="BD238" s="9" t="s">
        <v>300</v>
      </c>
      <c r="BE238" s="9" t="s">
        <v>47</v>
      </c>
      <c r="BF238" s="9" t="s">
        <v>356</v>
      </c>
      <c r="BG238" s="9" t="s">
        <v>967</v>
      </c>
      <c r="BH238" s="9" t="s">
        <v>304</v>
      </c>
      <c r="BI238" s="9" t="s">
        <v>490</v>
      </c>
      <c r="BJ238" s="9" t="s">
        <v>491</v>
      </c>
      <c r="BK238" s="11">
        <v>856</v>
      </c>
      <c r="BL238" s="16">
        <v>159.83371</v>
      </c>
      <c r="BM238" s="10">
        <v>45540</v>
      </c>
      <c r="BN238" s="10">
        <v>45638</v>
      </c>
      <c r="BO238" s="10"/>
      <c r="BP238" s="16"/>
      <c r="BQ238" s="16"/>
      <c r="BR238" s="9" t="s">
        <v>3056</v>
      </c>
      <c r="BS238" s="9" t="s">
        <v>3057</v>
      </c>
      <c r="BT238" s="9" t="s">
        <v>3049</v>
      </c>
      <c r="BU238" s="9" t="s">
        <v>2764</v>
      </c>
      <c r="BV238" s="9"/>
      <c r="BW238" s="10"/>
      <c r="BX238" s="15" t="s">
        <v>3058</v>
      </c>
      <c r="BY238" s="10"/>
      <c r="BZ238" s="10"/>
      <c r="CA238" s="10"/>
      <c r="CC238" s="9" t="s">
        <v>308</v>
      </c>
      <c r="CD238" s="9" t="s">
        <v>309</v>
      </c>
    </row>
    <row r="239" spans="1:82">
      <c r="A239" s="8">
        <v>88991</v>
      </c>
      <c r="B239" s="9" t="s">
        <v>3059</v>
      </c>
      <c r="C239" s="9" t="s">
        <v>475</v>
      </c>
      <c r="D239" s="10">
        <v>45509</v>
      </c>
      <c r="E239" s="9" t="s">
        <v>3057</v>
      </c>
      <c r="F239" s="9" t="s">
        <v>2764</v>
      </c>
      <c r="G239" s="9" t="s">
        <v>3049</v>
      </c>
      <c r="H239" s="9" t="s">
        <v>281</v>
      </c>
      <c r="I239" s="9" t="s">
        <v>282</v>
      </c>
      <c r="J239" s="9" t="s">
        <v>283</v>
      </c>
      <c r="K239" s="9" t="s">
        <v>284</v>
      </c>
      <c r="L239" s="9" t="s">
        <v>3060</v>
      </c>
      <c r="M239" s="9" t="s">
        <v>3061</v>
      </c>
      <c r="N239" s="8">
        <v>1</v>
      </c>
      <c r="O239" s="9" t="s">
        <v>3062</v>
      </c>
      <c r="P239" s="11">
        <v>174.3</v>
      </c>
      <c r="Q239" s="11">
        <v>165</v>
      </c>
      <c r="R239" s="11">
        <v>150</v>
      </c>
      <c r="S239" s="11">
        <v>1276.53</v>
      </c>
      <c r="T239" s="11">
        <v>222499.179</v>
      </c>
      <c r="U239" s="12">
        <v>5.2999999999999999E-2</v>
      </c>
      <c r="V239" s="12">
        <v>0.85099999999999998</v>
      </c>
      <c r="W239" s="11">
        <v>1318.4</v>
      </c>
      <c r="X239" s="9" t="s">
        <v>288</v>
      </c>
      <c r="Y239" s="10">
        <v>44664</v>
      </c>
      <c r="Z239" s="13">
        <v>0.12870000000000001</v>
      </c>
      <c r="AC239" s="9" t="s">
        <v>289</v>
      </c>
      <c r="AD239" s="9" t="s">
        <v>290</v>
      </c>
      <c r="AE239" s="8">
        <v>813</v>
      </c>
      <c r="AF239" s="14">
        <v>44.145910000000001</v>
      </c>
      <c r="AG239" s="14">
        <v>6.3006700000000002</v>
      </c>
      <c r="AH239" s="9" t="s">
        <v>483</v>
      </c>
      <c r="AI239" s="15" t="s">
        <v>319</v>
      </c>
      <c r="AJ239" s="9" t="s">
        <v>293</v>
      </c>
      <c r="AK239" s="9" t="s">
        <v>3063</v>
      </c>
      <c r="AL239" s="9" t="s">
        <v>3064</v>
      </c>
      <c r="AM239" s="9"/>
      <c r="AN239" s="9" t="s">
        <v>3065</v>
      </c>
      <c r="AO239" s="9"/>
      <c r="AP239" s="9" t="s">
        <v>108</v>
      </c>
      <c r="AQ239" s="9" t="s">
        <v>298</v>
      </c>
      <c r="AR239" t="b">
        <v>0</v>
      </c>
      <c r="AS239" s="10"/>
      <c r="AT239" s="10" t="s">
        <v>299</v>
      </c>
      <c r="AU239" s="9"/>
      <c r="AV239" t="b">
        <v>0</v>
      </c>
      <c r="AW239" s="12"/>
      <c r="AX239" s="11"/>
      <c r="AY239" s="9"/>
      <c r="AZ239" t="b">
        <v>0</v>
      </c>
      <c r="BA239" s="9"/>
      <c r="BB239" s="12"/>
      <c r="BC239" s="11"/>
      <c r="BD239" s="9" t="s">
        <v>300</v>
      </c>
      <c r="BE239" s="9" t="s">
        <v>47</v>
      </c>
      <c r="BF239" s="9" t="s">
        <v>356</v>
      </c>
      <c r="BG239" s="9" t="s">
        <v>967</v>
      </c>
      <c r="BH239" s="9" t="s">
        <v>304</v>
      </c>
      <c r="BI239" s="9" t="s">
        <v>490</v>
      </c>
      <c r="BJ239" s="9" t="s">
        <v>491</v>
      </c>
      <c r="BK239" s="11">
        <v>856</v>
      </c>
      <c r="BL239" s="16">
        <v>129.06809999999999</v>
      </c>
      <c r="BM239" s="10">
        <v>45585</v>
      </c>
      <c r="BN239" s="10">
        <v>45638</v>
      </c>
      <c r="BO239" s="10"/>
      <c r="BP239" s="16"/>
      <c r="BQ239" s="16"/>
      <c r="BR239" s="9" t="s">
        <v>3066</v>
      </c>
      <c r="BS239" s="9" t="s">
        <v>3067</v>
      </c>
      <c r="BT239" s="9" t="s">
        <v>3049</v>
      </c>
      <c r="BU239" s="9" t="s">
        <v>2764</v>
      </c>
      <c r="BV239" s="9"/>
      <c r="BW239" s="10"/>
      <c r="BX239" s="15" t="s">
        <v>3068</v>
      </c>
      <c r="BY239" s="10"/>
      <c r="BZ239" s="10"/>
      <c r="CA239" s="10"/>
      <c r="CC239" s="9" t="s">
        <v>308</v>
      </c>
      <c r="CD239" s="9" t="s">
        <v>309</v>
      </c>
    </row>
    <row r="240" spans="1:82">
      <c r="A240" s="8">
        <v>93085</v>
      </c>
      <c r="B240" s="9" t="s">
        <v>3069</v>
      </c>
      <c r="C240" s="9" t="s">
        <v>1257</v>
      </c>
      <c r="D240" s="10">
        <v>45506</v>
      </c>
      <c r="E240" s="9" t="s">
        <v>3070</v>
      </c>
      <c r="F240" s="9" t="s">
        <v>3071</v>
      </c>
      <c r="G240" s="9" t="s">
        <v>1974</v>
      </c>
      <c r="H240" s="9" t="s">
        <v>281</v>
      </c>
      <c r="I240" s="9" t="s">
        <v>282</v>
      </c>
      <c r="J240" s="9" t="s">
        <v>719</v>
      </c>
      <c r="K240" s="9" t="s">
        <v>284</v>
      </c>
      <c r="L240" s="9" t="s">
        <v>3072</v>
      </c>
      <c r="M240" s="9" t="s">
        <v>3073</v>
      </c>
      <c r="N240" s="8">
        <v>1</v>
      </c>
      <c r="O240" s="9" t="s">
        <v>3074</v>
      </c>
      <c r="P240" s="11">
        <v>149.4</v>
      </c>
      <c r="Q240" s="11">
        <v>88.3</v>
      </c>
      <c r="R240" s="11">
        <v>88.3</v>
      </c>
      <c r="S240" s="11">
        <v>1138</v>
      </c>
      <c r="T240" s="11">
        <v>170017.2</v>
      </c>
      <c r="U240" s="12">
        <v>5.3999999999999999E-2</v>
      </c>
      <c r="V240" s="12">
        <v>0.85399999999999998</v>
      </c>
      <c r="W240" s="11">
        <v>1139.8</v>
      </c>
      <c r="X240" s="9" t="s">
        <v>288</v>
      </c>
      <c r="Y240" s="10">
        <v>44957</v>
      </c>
      <c r="Z240" s="13">
        <v>0.13109999999999999</v>
      </c>
      <c r="AC240" s="9" t="s">
        <v>289</v>
      </c>
      <c r="AD240" s="9" t="s">
        <v>290</v>
      </c>
      <c r="AE240" s="8">
        <v>697.27391999999998</v>
      </c>
      <c r="AF240" s="14">
        <v>44.222799999999999</v>
      </c>
      <c r="AG240" s="14">
        <v>0.65802000000000005</v>
      </c>
      <c r="AH240" s="9" t="s">
        <v>483</v>
      </c>
      <c r="AI240" s="15" t="s">
        <v>319</v>
      </c>
      <c r="AJ240" s="9" t="s">
        <v>293</v>
      </c>
      <c r="AK240" s="9" t="s">
        <v>1979</v>
      </c>
      <c r="AL240" s="9" t="s">
        <v>1980</v>
      </c>
      <c r="AM240" s="9"/>
      <c r="AN240" s="9" t="s">
        <v>3075</v>
      </c>
      <c r="AO240" s="9"/>
      <c r="AP240" s="9" t="s">
        <v>1212</v>
      </c>
      <c r="AQ240" s="9" t="s">
        <v>1212</v>
      </c>
      <c r="AR240" t="b">
        <v>0</v>
      </c>
      <c r="AS240" s="10"/>
      <c r="AT240" s="10" t="s">
        <v>299</v>
      </c>
      <c r="AU240" s="9"/>
      <c r="AV240" t="b">
        <v>0</v>
      </c>
      <c r="AW240" s="12"/>
      <c r="AX240" s="11"/>
      <c r="AY240" s="9"/>
      <c r="AZ240" t="b">
        <v>0</v>
      </c>
      <c r="BA240" s="9"/>
      <c r="BB240" s="12"/>
      <c r="BC240" s="11"/>
      <c r="BD240" s="9" t="s">
        <v>325</v>
      </c>
      <c r="BE240" s="9" t="s">
        <v>47</v>
      </c>
      <c r="BF240" s="9" t="s">
        <v>373</v>
      </c>
      <c r="BG240" s="9" t="s">
        <v>749</v>
      </c>
      <c r="BH240" s="9" t="s">
        <v>304</v>
      </c>
      <c r="BI240" s="9" t="s">
        <v>1267</v>
      </c>
      <c r="BJ240" s="9" t="s">
        <v>1268</v>
      </c>
      <c r="BK240" s="11">
        <v>856</v>
      </c>
      <c r="BL240" s="16">
        <v>119.9298</v>
      </c>
      <c r="BM240" s="10">
        <v>45525</v>
      </c>
      <c r="BN240" s="10">
        <v>45929</v>
      </c>
      <c r="BO240" s="10"/>
      <c r="BP240" s="16"/>
      <c r="BQ240" s="16"/>
      <c r="BR240" s="9"/>
      <c r="BS240" s="9"/>
      <c r="BT240" s="9"/>
      <c r="BU240" s="9"/>
      <c r="BV240" s="9"/>
      <c r="BW240" s="10"/>
      <c r="BX240" s="15" t="s">
        <v>3076</v>
      </c>
      <c r="BY240" s="10">
        <v>45506</v>
      </c>
      <c r="BZ240" s="10">
        <v>52810</v>
      </c>
      <c r="CA240" s="10">
        <v>45813</v>
      </c>
      <c r="CC240" s="9" t="s">
        <v>308</v>
      </c>
      <c r="CD240" s="9" t="s">
        <v>309</v>
      </c>
    </row>
    <row r="241" spans="1:82">
      <c r="A241" s="8">
        <v>41464</v>
      </c>
      <c r="B241" s="9" t="s">
        <v>3077</v>
      </c>
      <c r="C241" s="9" t="s">
        <v>1257</v>
      </c>
      <c r="D241" s="10">
        <v>45506</v>
      </c>
      <c r="E241" s="9" t="s">
        <v>3078</v>
      </c>
      <c r="F241" s="9" t="s">
        <v>3079</v>
      </c>
      <c r="G241" s="9" t="s">
        <v>3080</v>
      </c>
      <c r="H241" s="9" t="s">
        <v>281</v>
      </c>
      <c r="I241" s="9" t="s">
        <v>282</v>
      </c>
      <c r="J241" s="9" t="s">
        <v>283</v>
      </c>
      <c r="K241" s="9" t="s">
        <v>284</v>
      </c>
      <c r="L241" s="9" t="s">
        <v>3081</v>
      </c>
      <c r="M241" s="9" t="s">
        <v>3082</v>
      </c>
      <c r="N241" s="8">
        <v>1</v>
      </c>
      <c r="O241" s="9" t="s">
        <v>3083</v>
      </c>
      <c r="P241" s="11">
        <v>276.92</v>
      </c>
      <c r="Q241" s="11">
        <v>250</v>
      </c>
      <c r="R241" s="11">
        <v>249.9</v>
      </c>
      <c r="S241" s="11">
        <v>1339.09</v>
      </c>
      <c r="T241" s="11">
        <v>370820.8028</v>
      </c>
      <c r="U241" s="12">
        <v>5.3999999999999999E-2</v>
      </c>
      <c r="V241" s="12">
        <v>0.85099999999999998</v>
      </c>
      <c r="W241" s="11">
        <v>1331.4</v>
      </c>
      <c r="X241" s="9" t="s">
        <v>288</v>
      </c>
      <c r="Y241" s="10">
        <v>45020</v>
      </c>
      <c r="Z241" s="13">
        <v>0.13120000000000001</v>
      </c>
      <c r="AC241" s="9" t="s">
        <v>289</v>
      </c>
      <c r="AD241" s="9" t="s">
        <v>290</v>
      </c>
      <c r="AE241" s="8">
        <v>1299.4631999999999</v>
      </c>
      <c r="AF241" s="14">
        <v>43.915379999999999</v>
      </c>
      <c r="AG241" s="14">
        <v>5.5799799999999999</v>
      </c>
      <c r="AH241" s="9" t="s">
        <v>483</v>
      </c>
      <c r="AI241" s="15" t="s">
        <v>319</v>
      </c>
      <c r="AJ241" s="9" t="s">
        <v>293</v>
      </c>
      <c r="AK241" s="9" t="s">
        <v>3084</v>
      </c>
      <c r="AL241" s="9" t="s">
        <v>3085</v>
      </c>
      <c r="AM241" s="9"/>
      <c r="AN241" s="9" t="s">
        <v>3086</v>
      </c>
      <c r="AO241" s="9"/>
      <c r="AP241" s="9" t="s">
        <v>108</v>
      </c>
      <c r="AQ241" s="9" t="s">
        <v>372</v>
      </c>
      <c r="AR241" t="b">
        <v>0</v>
      </c>
      <c r="AS241" s="10"/>
      <c r="AT241" s="10" t="s">
        <v>299</v>
      </c>
      <c r="AU241" s="9"/>
      <c r="AV241" t="b">
        <v>0</v>
      </c>
      <c r="AW241" s="12"/>
      <c r="AX241" s="11"/>
      <c r="AY241" s="9"/>
      <c r="AZ241" t="b">
        <v>0</v>
      </c>
      <c r="BA241" s="9"/>
      <c r="BB241" s="12"/>
      <c r="BC241" s="11"/>
      <c r="BD241" s="9" t="s">
        <v>300</v>
      </c>
      <c r="BE241" s="9" t="s">
        <v>47</v>
      </c>
      <c r="BF241" s="9" t="s">
        <v>690</v>
      </c>
      <c r="BG241" s="9" t="s">
        <v>967</v>
      </c>
      <c r="BH241" s="9" t="s">
        <v>304</v>
      </c>
      <c r="BI241" s="9" t="s">
        <v>1267</v>
      </c>
      <c r="BJ241" s="9" t="s">
        <v>1268</v>
      </c>
      <c r="BK241" s="11">
        <v>856</v>
      </c>
      <c r="BL241" s="16">
        <v>166.72963999999999</v>
      </c>
      <c r="BM241" s="10">
        <v>45522</v>
      </c>
      <c r="BN241" s="10">
        <v>45792</v>
      </c>
      <c r="BO241" s="10"/>
      <c r="BP241" s="16"/>
      <c r="BQ241" s="16"/>
      <c r="BR241" s="9"/>
      <c r="BS241" s="9"/>
      <c r="BT241" s="9"/>
      <c r="BU241" s="9"/>
      <c r="BV241" s="9"/>
      <c r="BW241" s="10"/>
      <c r="BX241" s="15" t="s">
        <v>1255</v>
      </c>
      <c r="BY241" s="10"/>
      <c r="BZ241" s="10"/>
      <c r="CA241" s="10"/>
      <c r="CC241" s="9" t="s">
        <v>308</v>
      </c>
      <c r="CD241" s="9" t="s">
        <v>309</v>
      </c>
    </row>
    <row r="242" spans="1:82">
      <c r="A242" s="8">
        <v>58173</v>
      </c>
      <c r="B242" s="9" t="s">
        <v>3087</v>
      </c>
      <c r="C242" s="9" t="s">
        <v>1257</v>
      </c>
      <c r="D242" s="10">
        <v>45505</v>
      </c>
      <c r="E242" s="9" t="s">
        <v>3088</v>
      </c>
      <c r="F242" s="9" t="s">
        <v>3089</v>
      </c>
      <c r="G242" s="9" t="s">
        <v>3090</v>
      </c>
      <c r="H242" s="9" t="s">
        <v>281</v>
      </c>
      <c r="I242" s="9" t="s">
        <v>282</v>
      </c>
      <c r="J242" s="9" t="s">
        <v>283</v>
      </c>
      <c r="K242" s="9" t="s">
        <v>284</v>
      </c>
      <c r="L242" s="9" t="s">
        <v>3091</v>
      </c>
      <c r="M242" s="9" t="s">
        <v>3092</v>
      </c>
      <c r="N242" s="8">
        <v>1</v>
      </c>
      <c r="O242" s="9" t="s">
        <v>3093</v>
      </c>
      <c r="P242" s="11">
        <v>318.2</v>
      </c>
      <c r="Q242" s="11">
        <v>250</v>
      </c>
      <c r="R242" s="11">
        <v>249.99</v>
      </c>
      <c r="S242" s="11">
        <v>950.16</v>
      </c>
      <c r="T242" s="11">
        <v>302340.91200000001</v>
      </c>
      <c r="U242" s="12">
        <v>5.3999999999999999E-2</v>
      </c>
      <c r="V242" s="12">
        <v>0.86599999999999999</v>
      </c>
      <c r="W242" s="11">
        <v>970.8</v>
      </c>
      <c r="X242" s="9" t="s">
        <v>288</v>
      </c>
      <c r="Y242" s="10">
        <v>44839</v>
      </c>
      <c r="Z242" s="13">
        <v>0.13120000000000001</v>
      </c>
      <c r="AC242" s="9" t="s">
        <v>289</v>
      </c>
      <c r="AD242" s="9" t="s">
        <v>290</v>
      </c>
      <c r="AE242" s="8">
        <v>1493.172</v>
      </c>
      <c r="AF242" s="14">
        <v>49.239330000000002</v>
      </c>
      <c r="AG242" s="14">
        <v>0.80181999999999998</v>
      </c>
      <c r="AH242" s="9" t="s">
        <v>483</v>
      </c>
      <c r="AI242" s="15" t="s">
        <v>319</v>
      </c>
      <c r="AJ242" s="9" t="s">
        <v>293</v>
      </c>
      <c r="AK242" s="9" t="s">
        <v>3094</v>
      </c>
      <c r="AL242" s="9" t="s">
        <v>3095</v>
      </c>
      <c r="AM242" s="9"/>
      <c r="AN242" s="9" t="s">
        <v>3096</v>
      </c>
      <c r="AO242" s="9"/>
      <c r="AP242" s="9" t="s">
        <v>43</v>
      </c>
      <c r="AQ242" s="9" t="s">
        <v>847</v>
      </c>
      <c r="AR242" t="b">
        <v>0</v>
      </c>
      <c r="AS242" s="10"/>
      <c r="AT242" s="10" t="s">
        <v>299</v>
      </c>
      <c r="AU242" s="9"/>
      <c r="AV242" t="b">
        <v>0</v>
      </c>
      <c r="AW242" s="12"/>
      <c r="AX242" s="11"/>
      <c r="AY242" s="9"/>
      <c r="AZ242" t="b">
        <v>0</v>
      </c>
      <c r="BA242" s="9"/>
      <c r="BB242" s="12"/>
      <c r="BC242" s="11"/>
      <c r="BD242" s="9" t="s">
        <v>300</v>
      </c>
      <c r="BE242" s="9" t="s">
        <v>47</v>
      </c>
      <c r="BF242" s="9" t="s">
        <v>302</v>
      </c>
      <c r="BG242" s="9" t="s">
        <v>980</v>
      </c>
      <c r="BH242" s="9" t="s">
        <v>304</v>
      </c>
      <c r="BI242" s="9" t="s">
        <v>1267</v>
      </c>
      <c r="BJ242" s="9" t="s">
        <v>1268</v>
      </c>
      <c r="BK242" s="11">
        <v>856</v>
      </c>
      <c r="BL242" s="16">
        <v>181.8794</v>
      </c>
      <c r="BM242" s="10">
        <v>45521</v>
      </c>
      <c r="BN242" s="10">
        <v>45777</v>
      </c>
      <c r="BO242" s="10"/>
      <c r="BP242" s="16"/>
      <c r="BQ242" s="16"/>
      <c r="BR242" s="9"/>
      <c r="BS242" s="9"/>
      <c r="BT242" s="9"/>
      <c r="BU242" s="9"/>
      <c r="BV242" s="9"/>
      <c r="BW242" s="10"/>
      <c r="BX242" s="15" t="s">
        <v>1070</v>
      </c>
      <c r="BY242" s="10"/>
      <c r="BZ242" s="10"/>
      <c r="CA242" s="10"/>
      <c r="CC242" s="9" t="s">
        <v>308</v>
      </c>
      <c r="CD242" s="9" t="s">
        <v>309</v>
      </c>
    </row>
    <row r="243" spans="1:82">
      <c r="A243" s="8">
        <v>32250</v>
      </c>
      <c r="B243" s="9" t="s">
        <v>3097</v>
      </c>
      <c r="C243" s="9" t="s">
        <v>1257</v>
      </c>
      <c r="D243" s="10">
        <v>45503</v>
      </c>
      <c r="E243" s="9" t="s">
        <v>3098</v>
      </c>
      <c r="F243" s="9" t="s">
        <v>3099</v>
      </c>
      <c r="G243" s="9" t="s">
        <v>3100</v>
      </c>
      <c r="H243" s="9" t="s">
        <v>281</v>
      </c>
      <c r="I243" s="9" t="s">
        <v>282</v>
      </c>
      <c r="J243" s="9" t="s">
        <v>283</v>
      </c>
      <c r="K243" s="9" t="s">
        <v>284</v>
      </c>
      <c r="L243" s="9" t="s">
        <v>3101</v>
      </c>
      <c r="M243" s="9" t="s">
        <v>3102</v>
      </c>
      <c r="N243" s="8">
        <v>1</v>
      </c>
      <c r="O243" s="9" t="s">
        <v>3103</v>
      </c>
      <c r="P243" s="11">
        <v>206.4</v>
      </c>
      <c r="Q243" s="11">
        <v>165</v>
      </c>
      <c r="R243" s="11">
        <v>165</v>
      </c>
      <c r="S243" s="11">
        <v>1152</v>
      </c>
      <c r="T243" s="11">
        <v>237772.79999999999</v>
      </c>
      <c r="U243" s="12">
        <v>5.3999999999999999E-2</v>
      </c>
      <c r="V243" s="12">
        <v>0.85699999999999998</v>
      </c>
      <c r="W243" s="11">
        <v>1180.2</v>
      </c>
      <c r="X243" s="9" t="s">
        <v>288</v>
      </c>
      <c r="Y243" s="10">
        <v>45037</v>
      </c>
      <c r="Z243" s="13">
        <v>0.13120000000000001</v>
      </c>
      <c r="AC243" s="9" t="s">
        <v>289</v>
      </c>
      <c r="AD243" s="9" t="s">
        <v>290</v>
      </c>
      <c r="AE243" s="8">
        <v>968.54399999999998</v>
      </c>
      <c r="AF243" s="14">
        <v>44.57647</v>
      </c>
      <c r="AG243" s="14">
        <v>-0.77686999999999995</v>
      </c>
      <c r="AH243" s="9" t="s">
        <v>483</v>
      </c>
      <c r="AI243" s="15" t="s">
        <v>319</v>
      </c>
      <c r="AJ243" s="9" t="s">
        <v>293</v>
      </c>
      <c r="AK243" s="9" t="s">
        <v>3104</v>
      </c>
      <c r="AL243" s="9" t="s">
        <v>3105</v>
      </c>
      <c r="AM243" s="9"/>
      <c r="AN243" s="9" t="s">
        <v>3106</v>
      </c>
      <c r="AO243" s="9"/>
      <c r="AP243" s="9" t="s">
        <v>293</v>
      </c>
      <c r="AQ243" s="9" t="s">
        <v>293</v>
      </c>
      <c r="AR243" t="b">
        <v>0</v>
      </c>
      <c r="AS243" s="10"/>
      <c r="AT243" s="10" t="s">
        <v>299</v>
      </c>
      <c r="AU243" s="9"/>
      <c r="AV243" t="b">
        <v>0</v>
      </c>
      <c r="AW243" s="12"/>
      <c r="AX243" s="11"/>
      <c r="AY243" s="9"/>
      <c r="AZ243" t="b">
        <v>0</v>
      </c>
      <c r="BA243" s="9"/>
      <c r="BB243" s="12"/>
      <c r="BC243" s="11"/>
      <c r="BD243" s="9" t="s">
        <v>325</v>
      </c>
      <c r="BE243" s="9" t="s">
        <v>47</v>
      </c>
      <c r="BF243" s="9" t="s">
        <v>302</v>
      </c>
      <c r="BG243" s="9" t="s">
        <v>749</v>
      </c>
      <c r="BH243" s="9" t="s">
        <v>304</v>
      </c>
      <c r="BI243" s="9" t="s">
        <v>1267</v>
      </c>
      <c r="BJ243" s="9" t="s">
        <v>1268</v>
      </c>
      <c r="BK243" s="11">
        <v>856</v>
      </c>
      <c r="BL243" s="16">
        <v>140.84880000000001</v>
      </c>
      <c r="BM243" s="10">
        <v>45625</v>
      </c>
      <c r="BN243" s="10">
        <v>45792</v>
      </c>
      <c r="BO243" s="10"/>
      <c r="BP243" s="16"/>
      <c r="BQ243" s="16"/>
      <c r="BR243" s="9" t="s">
        <v>3104</v>
      </c>
      <c r="BS243" s="9" t="s">
        <v>3107</v>
      </c>
      <c r="BT243" s="9" t="s">
        <v>3100</v>
      </c>
      <c r="BU243" s="9" t="s">
        <v>3108</v>
      </c>
      <c r="BV243" s="9"/>
      <c r="BW243" s="10"/>
      <c r="BX243" s="15" t="s">
        <v>3109</v>
      </c>
      <c r="BY243" s="10"/>
      <c r="BZ243" s="10"/>
      <c r="CA243" s="10"/>
      <c r="CC243" s="9" t="s">
        <v>308</v>
      </c>
      <c r="CD243" s="9" t="s">
        <v>309</v>
      </c>
    </row>
    <row r="244" spans="1:82" ht="29.1">
      <c r="A244" s="8">
        <v>30036</v>
      </c>
      <c r="B244" s="9" t="s">
        <v>3110</v>
      </c>
      <c r="C244" s="9" t="s">
        <v>1257</v>
      </c>
      <c r="D244" s="10">
        <v>45490</v>
      </c>
      <c r="E244" s="9" t="s">
        <v>3111</v>
      </c>
      <c r="F244" s="9" t="s">
        <v>3112</v>
      </c>
      <c r="G244" s="9" t="s">
        <v>3113</v>
      </c>
      <c r="H244" s="9" t="s">
        <v>281</v>
      </c>
      <c r="I244" s="9" t="s">
        <v>282</v>
      </c>
      <c r="J244" s="9" t="s">
        <v>283</v>
      </c>
      <c r="K244" s="9" t="s">
        <v>284</v>
      </c>
      <c r="L244" s="9" t="s">
        <v>3114</v>
      </c>
      <c r="M244" s="9" t="s">
        <v>3115</v>
      </c>
      <c r="N244" s="8">
        <v>2</v>
      </c>
      <c r="O244" s="9" t="s">
        <v>3116</v>
      </c>
      <c r="P244" s="11">
        <v>499</v>
      </c>
      <c r="Q244" s="11">
        <v>440</v>
      </c>
      <c r="R244" s="11">
        <v>415.8</v>
      </c>
      <c r="S244" s="11">
        <v>1152.6500000000001</v>
      </c>
      <c r="T244" s="11">
        <v>575172.35</v>
      </c>
      <c r="U244" s="12">
        <v>5.2999999999999999E-2</v>
      </c>
      <c r="V244" s="12">
        <v>0.85499999999999998</v>
      </c>
      <c r="W244" s="11">
        <v>1122.4000000000001</v>
      </c>
      <c r="X244" s="9" t="s">
        <v>288</v>
      </c>
      <c r="Y244" s="10">
        <v>44988</v>
      </c>
      <c r="Z244" s="13">
        <v>0.1313</v>
      </c>
      <c r="AC244" s="9" t="s">
        <v>289</v>
      </c>
      <c r="AD244" s="9" t="s">
        <v>290</v>
      </c>
      <c r="AE244" s="8">
        <v>2345</v>
      </c>
      <c r="AF244" s="14">
        <v>45.008009999999999</v>
      </c>
      <c r="AG244" s="14">
        <v>7.2160000000000002E-2</v>
      </c>
      <c r="AH244" s="9" t="s">
        <v>483</v>
      </c>
      <c r="AI244" s="15" t="s">
        <v>319</v>
      </c>
      <c r="AJ244" s="9" t="s">
        <v>293</v>
      </c>
      <c r="AK244" s="9" t="s">
        <v>3117</v>
      </c>
      <c r="AL244" s="9" t="s">
        <v>3118</v>
      </c>
      <c r="AM244" s="9"/>
      <c r="AN244" s="9" t="s">
        <v>3119</v>
      </c>
      <c r="AO244" s="9"/>
      <c r="AP244" s="9" t="s">
        <v>293</v>
      </c>
      <c r="AQ244" s="9" t="s">
        <v>293</v>
      </c>
      <c r="AR244" t="b">
        <v>0</v>
      </c>
      <c r="AS244" s="10"/>
      <c r="AT244" s="10" t="s">
        <v>299</v>
      </c>
      <c r="AU244" s="9"/>
      <c r="AV244" t="b">
        <v>0</v>
      </c>
      <c r="AW244" s="12"/>
      <c r="AX244" s="11"/>
      <c r="AY244" s="9"/>
      <c r="AZ244" t="b">
        <v>0</v>
      </c>
      <c r="BA244" s="9"/>
      <c r="BB244" s="12"/>
      <c r="BC244" s="11"/>
      <c r="BD244" s="9" t="s">
        <v>325</v>
      </c>
      <c r="BE244" s="9" t="s">
        <v>47</v>
      </c>
      <c r="BF244" s="9" t="s">
        <v>373</v>
      </c>
      <c r="BG244" s="9" t="s">
        <v>749</v>
      </c>
      <c r="BH244" s="9" t="s">
        <v>304</v>
      </c>
      <c r="BI244" s="9" t="s">
        <v>1267</v>
      </c>
      <c r="BJ244" s="9" t="s">
        <v>1268</v>
      </c>
      <c r="BK244" s="11">
        <v>856</v>
      </c>
      <c r="BL244" s="16">
        <v>248.233</v>
      </c>
      <c r="BM244" s="10">
        <v>45506</v>
      </c>
      <c r="BN244" s="10">
        <v>45791</v>
      </c>
      <c r="BO244" s="10"/>
      <c r="BP244" s="16"/>
      <c r="BQ244" s="16"/>
      <c r="BR244" s="9"/>
      <c r="BS244" s="9"/>
      <c r="BT244" s="9"/>
      <c r="BU244" s="9"/>
      <c r="BV244" s="9"/>
      <c r="BW244" s="10"/>
      <c r="BX244" s="15" t="s">
        <v>3120</v>
      </c>
      <c r="BY244" s="10"/>
      <c r="BZ244" s="10"/>
      <c r="CA244" s="10"/>
      <c r="CC244" s="9" t="s">
        <v>308</v>
      </c>
      <c r="CD244" s="9" t="s">
        <v>309</v>
      </c>
    </row>
    <row r="245" spans="1:82">
      <c r="A245" s="8">
        <v>28154</v>
      </c>
      <c r="B245" s="9" t="s">
        <v>3121</v>
      </c>
      <c r="C245" s="9" t="s">
        <v>3122</v>
      </c>
      <c r="D245" s="10">
        <v>45485</v>
      </c>
      <c r="E245" s="9" t="s">
        <v>3123</v>
      </c>
      <c r="F245" s="9" t="s">
        <v>3124</v>
      </c>
      <c r="G245" s="9" t="s">
        <v>3125</v>
      </c>
      <c r="H245" s="9" t="s">
        <v>281</v>
      </c>
      <c r="I245" s="9" t="s">
        <v>282</v>
      </c>
      <c r="J245" s="9" t="s">
        <v>283</v>
      </c>
      <c r="K245" s="9" t="s">
        <v>284</v>
      </c>
      <c r="L245" s="9" t="s">
        <v>3126</v>
      </c>
      <c r="M245" s="9" t="s">
        <v>3127</v>
      </c>
      <c r="N245" s="8">
        <v>1</v>
      </c>
      <c r="O245" s="9" t="s">
        <v>3128</v>
      </c>
      <c r="P245" s="11">
        <v>232.47</v>
      </c>
      <c r="Q245" s="11">
        <v>242</v>
      </c>
      <c r="R245" s="11">
        <v>194</v>
      </c>
      <c r="S245" s="11">
        <v>1350</v>
      </c>
      <c r="T245" s="11">
        <v>313834.5</v>
      </c>
      <c r="U245" s="12">
        <v>5.3999999999999999E-2</v>
      </c>
      <c r="V245" s="12"/>
      <c r="W245" s="11"/>
      <c r="X245" s="9" t="s">
        <v>288</v>
      </c>
      <c r="Y245" s="10">
        <v>44545</v>
      </c>
      <c r="Z245" s="13">
        <v>0.12280000000000001</v>
      </c>
      <c r="AC245" s="9" t="s">
        <v>289</v>
      </c>
      <c r="AD245" s="9" t="s">
        <v>290</v>
      </c>
      <c r="AE245" s="8">
        <v>1120.877</v>
      </c>
      <c r="AF245" s="14">
        <v>43.082549999999998</v>
      </c>
      <c r="AG245" s="14">
        <v>2.1311499999999999</v>
      </c>
      <c r="AH245" s="9" t="s">
        <v>3129</v>
      </c>
      <c r="AI245" s="15" t="s">
        <v>319</v>
      </c>
      <c r="AJ245" s="9" t="s">
        <v>293</v>
      </c>
      <c r="AK245" s="9" t="s">
        <v>3130</v>
      </c>
      <c r="AL245" s="9" t="s">
        <v>3131</v>
      </c>
      <c r="AM245" s="9"/>
      <c r="AN245" s="9" t="s">
        <v>3132</v>
      </c>
      <c r="AO245" s="9"/>
      <c r="AP245" s="9" t="s">
        <v>3133</v>
      </c>
      <c r="AQ245" s="9" t="s">
        <v>3134</v>
      </c>
      <c r="AR245" t="b">
        <v>0</v>
      </c>
      <c r="AS245" s="10"/>
      <c r="AT245" s="10" t="s">
        <v>299</v>
      </c>
      <c r="AU245" s="9"/>
      <c r="AV245" t="b">
        <v>0</v>
      </c>
      <c r="AW245" s="12"/>
      <c r="AX245" s="11"/>
      <c r="AY245" s="9"/>
      <c r="AZ245" t="b">
        <v>0</v>
      </c>
      <c r="BA245" s="9"/>
      <c r="BB245" s="12"/>
      <c r="BC245" s="11"/>
      <c r="BD245" s="9" t="s">
        <v>325</v>
      </c>
      <c r="BE245" s="9" t="s">
        <v>301</v>
      </c>
      <c r="BF245" s="9" t="s">
        <v>702</v>
      </c>
      <c r="BG245" s="9" t="s">
        <v>738</v>
      </c>
      <c r="BH245" s="9" t="s">
        <v>304</v>
      </c>
      <c r="BI245" s="9" t="s">
        <v>3135</v>
      </c>
      <c r="BJ245" s="9" t="s">
        <v>3136</v>
      </c>
      <c r="BK245" s="11">
        <v>400</v>
      </c>
      <c r="BL245" s="16" t="s">
        <v>299</v>
      </c>
      <c r="BM245" s="10"/>
      <c r="BN245" s="10"/>
      <c r="BO245" s="10"/>
      <c r="BP245" s="16"/>
      <c r="BQ245" s="16"/>
      <c r="BR245" s="9" t="s">
        <v>3137</v>
      </c>
      <c r="BS245" s="9" t="s">
        <v>3138</v>
      </c>
      <c r="BT245" s="9" t="s">
        <v>3125</v>
      </c>
      <c r="BU245" s="9" t="s">
        <v>3139</v>
      </c>
      <c r="BV245" s="9"/>
      <c r="BW245" s="10"/>
      <c r="BX245" s="15" t="s">
        <v>3140</v>
      </c>
      <c r="BY245" s="10"/>
      <c r="BZ245" s="10"/>
      <c r="CA245" s="10"/>
      <c r="CC245" s="9" t="s">
        <v>308</v>
      </c>
      <c r="CD245" s="9" t="s">
        <v>309</v>
      </c>
    </row>
    <row r="246" spans="1:82">
      <c r="A246" s="8">
        <v>90264</v>
      </c>
      <c r="B246" s="9" t="s">
        <v>3141</v>
      </c>
      <c r="C246" s="9" t="s">
        <v>475</v>
      </c>
      <c r="D246" s="10">
        <v>45484</v>
      </c>
      <c r="E246" s="9" t="s">
        <v>3142</v>
      </c>
      <c r="F246" s="9" t="s">
        <v>3143</v>
      </c>
      <c r="G246" s="9" t="s">
        <v>3144</v>
      </c>
      <c r="H246" s="9" t="s">
        <v>315</v>
      </c>
      <c r="I246" s="9" t="s">
        <v>282</v>
      </c>
      <c r="J246" s="9" t="s">
        <v>283</v>
      </c>
      <c r="K246" s="9" t="s">
        <v>284</v>
      </c>
      <c r="L246" s="9" t="s">
        <v>3145</v>
      </c>
      <c r="M246" s="9" t="s">
        <v>3146</v>
      </c>
      <c r="N246" s="8">
        <v>1</v>
      </c>
      <c r="O246" s="9" t="s">
        <v>3147</v>
      </c>
      <c r="P246" s="11">
        <v>179.28</v>
      </c>
      <c r="Q246" s="11">
        <v>165</v>
      </c>
      <c r="R246" s="11">
        <v>162</v>
      </c>
      <c r="S246" s="11">
        <v>1115.4100000000001</v>
      </c>
      <c r="T246" s="11">
        <v>199970.70480000001</v>
      </c>
      <c r="U246" s="12">
        <v>0.05</v>
      </c>
      <c r="V246" s="12">
        <v>0.85899999999999999</v>
      </c>
      <c r="W246" s="11">
        <v>1103.9000000000001</v>
      </c>
      <c r="X246" s="9" t="s">
        <v>288</v>
      </c>
      <c r="Y246" s="10">
        <v>44665</v>
      </c>
      <c r="Z246" s="13">
        <v>0.12870000000000001</v>
      </c>
      <c r="AC246" s="9" t="s">
        <v>289</v>
      </c>
      <c r="AD246" s="9" t="s">
        <v>290</v>
      </c>
      <c r="AE246" s="8">
        <v>836.7287</v>
      </c>
      <c r="AF246" s="14">
        <v>46.433039999999998</v>
      </c>
      <c r="AG246" s="14">
        <v>3.6367400000000001</v>
      </c>
      <c r="AH246" s="9" t="s">
        <v>483</v>
      </c>
      <c r="AI246" s="15" t="s">
        <v>319</v>
      </c>
      <c r="AJ246" s="9" t="s">
        <v>293</v>
      </c>
      <c r="AK246" s="9" t="s">
        <v>3148</v>
      </c>
      <c r="AL246" s="9" t="s">
        <v>3149</v>
      </c>
      <c r="AM246" s="9"/>
      <c r="AN246" s="9" t="s">
        <v>3150</v>
      </c>
      <c r="AO246" s="9"/>
      <c r="AP246" s="9" t="s">
        <v>323</v>
      </c>
      <c r="AQ246" s="9" t="s">
        <v>1212</v>
      </c>
      <c r="AR246" t="b">
        <v>1</v>
      </c>
      <c r="AS246" s="10">
        <v>45657</v>
      </c>
      <c r="AT246" s="10">
        <v>46022</v>
      </c>
      <c r="AU246" s="9" t="s">
        <v>1139</v>
      </c>
      <c r="AV246" t="b">
        <v>0</v>
      </c>
      <c r="AW246" s="12"/>
      <c r="AX246" s="11">
        <v>1800</v>
      </c>
      <c r="AY246" s="9" t="s">
        <v>471</v>
      </c>
      <c r="AZ246" t="b">
        <v>0</v>
      </c>
      <c r="BA246" s="9"/>
      <c r="BB246" s="12"/>
      <c r="BC246" s="11"/>
      <c r="BD246" s="9" t="s">
        <v>300</v>
      </c>
      <c r="BE246" s="9" t="s">
        <v>47</v>
      </c>
      <c r="BF246" s="9" t="s">
        <v>302</v>
      </c>
      <c r="BG246" s="9" t="s">
        <v>303</v>
      </c>
      <c r="BH246" s="9" t="s">
        <v>304</v>
      </c>
      <c r="BI246" s="9" t="s">
        <v>490</v>
      </c>
      <c r="BJ246" s="9" t="s">
        <v>491</v>
      </c>
      <c r="BK246" s="11">
        <v>856</v>
      </c>
      <c r="BL246" s="16">
        <v>130.89576</v>
      </c>
      <c r="BM246" s="10">
        <v>45665</v>
      </c>
      <c r="BN246" s="10">
        <v>45796</v>
      </c>
      <c r="BO246" s="10"/>
      <c r="BP246" s="16"/>
      <c r="BQ246" s="16"/>
      <c r="BR246" s="9" t="s">
        <v>3151</v>
      </c>
      <c r="BS246" s="9" t="s">
        <v>3152</v>
      </c>
      <c r="BT246" s="9" t="s">
        <v>3144</v>
      </c>
      <c r="BU246" s="9" t="s">
        <v>3143</v>
      </c>
      <c r="BV246" s="9"/>
      <c r="BW246" s="10"/>
      <c r="BX246" s="15" t="s">
        <v>503</v>
      </c>
      <c r="BY246" s="10"/>
      <c r="BZ246" s="10"/>
      <c r="CA246" s="10"/>
      <c r="CC246" s="9" t="s">
        <v>308</v>
      </c>
      <c r="CD246" s="9" t="s">
        <v>309</v>
      </c>
    </row>
    <row r="247" spans="1:82">
      <c r="A247" s="8">
        <v>35456</v>
      </c>
      <c r="B247" s="9" t="s">
        <v>3153</v>
      </c>
      <c r="C247" s="9" t="s">
        <v>970</v>
      </c>
      <c r="D247" s="10">
        <v>45483</v>
      </c>
      <c r="E247" s="9" t="s">
        <v>3154</v>
      </c>
      <c r="F247" s="9" t="s">
        <v>3155</v>
      </c>
      <c r="G247" s="9" t="s">
        <v>3156</v>
      </c>
      <c r="H247" s="9" t="s">
        <v>315</v>
      </c>
      <c r="I247" s="9" t="s">
        <v>282</v>
      </c>
      <c r="J247" s="9" t="s">
        <v>283</v>
      </c>
      <c r="K247" s="9" t="s">
        <v>284</v>
      </c>
      <c r="L247" s="9" t="s">
        <v>3157</v>
      </c>
      <c r="M247" s="9" t="s">
        <v>3158</v>
      </c>
      <c r="N247" s="8">
        <v>1</v>
      </c>
      <c r="O247" s="9" t="s">
        <v>3159</v>
      </c>
      <c r="P247" s="11">
        <v>275.2</v>
      </c>
      <c r="Q247" s="11">
        <v>220</v>
      </c>
      <c r="R247" s="11">
        <v>249.9</v>
      </c>
      <c r="S247" s="11">
        <v>1122.24</v>
      </c>
      <c r="T247" s="11">
        <v>308840.44799999997</v>
      </c>
      <c r="U247" s="12">
        <v>5.2999999999999999E-2</v>
      </c>
      <c r="V247" s="12">
        <v>0.86399999999999999</v>
      </c>
      <c r="W247" s="11">
        <v>1090.4000000000001</v>
      </c>
      <c r="X247" s="9" t="s">
        <v>288</v>
      </c>
      <c r="Y247" s="10">
        <v>44977</v>
      </c>
      <c r="Z247" s="13">
        <v>0.1313</v>
      </c>
      <c r="AC247" s="9" t="s">
        <v>289</v>
      </c>
      <c r="AD247" s="9" t="s">
        <v>290</v>
      </c>
      <c r="AE247" s="8">
        <v>1245.3499999999999</v>
      </c>
      <c r="AF247" s="14">
        <v>45.951540000000001</v>
      </c>
      <c r="AG247" s="14">
        <v>3.9523700000000002</v>
      </c>
      <c r="AH247" s="9" t="s">
        <v>483</v>
      </c>
      <c r="AI247" s="15" t="s">
        <v>319</v>
      </c>
      <c r="AJ247" s="9" t="s">
        <v>293</v>
      </c>
      <c r="AK247" s="9" t="s">
        <v>3160</v>
      </c>
      <c r="AL247" s="9" t="s">
        <v>3161</v>
      </c>
      <c r="AM247" s="9"/>
      <c r="AN247" s="9" t="s">
        <v>3162</v>
      </c>
      <c r="AO247" s="9"/>
      <c r="AP247" s="9" t="s">
        <v>323</v>
      </c>
      <c r="AQ247" s="9" t="s">
        <v>3163</v>
      </c>
      <c r="AR247" t="b">
        <v>1</v>
      </c>
      <c r="AS247" s="10">
        <v>45657</v>
      </c>
      <c r="AT247" s="10">
        <v>46022</v>
      </c>
      <c r="AU247" s="9" t="s">
        <v>1139</v>
      </c>
      <c r="AV247" t="b">
        <v>0</v>
      </c>
      <c r="AW247" s="12"/>
      <c r="AX247" s="11">
        <v>2000</v>
      </c>
      <c r="AY247" s="9" t="s">
        <v>471</v>
      </c>
      <c r="AZ247" t="b">
        <v>1</v>
      </c>
      <c r="BA247" s="9" t="s">
        <v>472</v>
      </c>
      <c r="BB247" s="12"/>
      <c r="BC247" s="11">
        <v>2000</v>
      </c>
      <c r="BD247" s="9" t="s">
        <v>300</v>
      </c>
      <c r="BE247" s="9" t="s">
        <v>301</v>
      </c>
      <c r="BF247" s="9" t="s">
        <v>1111</v>
      </c>
      <c r="BG247" s="9" t="s">
        <v>303</v>
      </c>
      <c r="BH247" s="9" t="s">
        <v>304</v>
      </c>
      <c r="BI247" s="9" t="s">
        <v>981</v>
      </c>
      <c r="BJ247" s="9" t="s">
        <v>982</v>
      </c>
      <c r="BK247" s="11">
        <v>856</v>
      </c>
      <c r="BL247" s="16">
        <v>166.0984</v>
      </c>
      <c r="BM247" s="10">
        <v>45499</v>
      </c>
      <c r="BN247" s="10">
        <v>45737</v>
      </c>
      <c r="BO247" s="10"/>
      <c r="BP247" s="16"/>
      <c r="BQ247" s="16"/>
      <c r="BR247" s="9" t="s">
        <v>3164</v>
      </c>
      <c r="BS247" s="9" t="s">
        <v>3165</v>
      </c>
      <c r="BT247" s="9" t="s">
        <v>3166</v>
      </c>
      <c r="BU247" s="9" t="s">
        <v>3167</v>
      </c>
      <c r="BV247" s="9"/>
      <c r="BW247" s="10"/>
      <c r="BX247" s="15" t="s">
        <v>515</v>
      </c>
      <c r="BY247" s="10"/>
      <c r="BZ247" s="10"/>
      <c r="CA247" s="10"/>
      <c r="CC247" s="9" t="s">
        <v>308</v>
      </c>
      <c r="CD247" s="9" t="s">
        <v>309</v>
      </c>
    </row>
    <row r="248" spans="1:82">
      <c r="A248" s="8">
        <v>35457</v>
      </c>
      <c r="B248" s="9" t="s">
        <v>3168</v>
      </c>
      <c r="C248" s="9" t="s">
        <v>970</v>
      </c>
      <c r="D248" s="10">
        <v>45483</v>
      </c>
      <c r="E248" s="9" t="s">
        <v>3169</v>
      </c>
      <c r="F248" s="9" t="s">
        <v>3170</v>
      </c>
      <c r="G248" s="9" t="s">
        <v>3156</v>
      </c>
      <c r="H248" s="9" t="s">
        <v>315</v>
      </c>
      <c r="I248" s="9" t="s">
        <v>282</v>
      </c>
      <c r="J248" s="9" t="s">
        <v>283</v>
      </c>
      <c r="K248" s="9" t="s">
        <v>284</v>
      </c>
      <c r="L248" s="9" t="s">
        <v>3171</v>
      </c>
      <c r="M248" s="9" t="s">
        <v>3172</v>
      </c>
      <c r="N248" s="8">
        <v>1</v>
      </c>
      <c r="O248" s="9" t="s">
        <v>3173</v>
      </c>
      <c r="P248" s="11">
        <v>149.63999999999999</v>
      </c>
      <c r="Q248" s="11">
        <v>110</v>
      </c>
      <c r="R248" s="11">
        <v>114.8</v>
      </c>
      <c r="S248" s="11">
        <v>1115.4100000000001</v>
      </c>
      <c r="T248" s="11">
        <v>166909.95240000001</v>
      </c>
      <c r="U248" s="12">
        <v>5.2999999999999999E-2</v>
      </c>
      <c r="V248" s="12">
        <v>0.86199999999999999</v>
      </c>
      <c r="W248" s="11">
        <v>1100.5</v>
      </c>
      <c r="X248" s="9" t="s">
        <v>288</v>
      </c>
      <c r="Y248" s="10">
        <v>44939</v>
      </c>
      <c r="Z248" s="13">
        <v>0.13109999999999999</v>
      </c>
      <c r="AA248" t="b">
        <v>1</v>
      </c>
      <c r="AC248" s="9" t="s">
        <v>289</v>
      </c>
      <c r="AD248" s="9" t="s">
        <v>290</v>
      </c>
      <c r="AE248" s="8">
        <v>702.19439999999997</v>
      </c>
      <c r="AF248" s="14">
        <v>45.95205</v>
      </c>
      <c r="AG248" s="14">
        <v>3.9516100000000001</v>
      </c>
      <c r="AH248" s="9" t="s">
        <v>483</v>
      </c>
      <c r="AI248" s="15" t="s">
        <v>319</v>
      </c>
      <c r="AJ248" s="9" t="s">
        <v>293</v>
      </c>
      <c r="AK248" s="9" t="s">
        <v>3174</v>
      </c>
      <c r="AL248" s="9" t="s">
        <v>3175</v>
      </c>
      <c r="AM248" s="9"/>
      <c r="AN248" s="9" t="s">
        <v>3176</v>
      </c>
      <c r="AO248" s="9" t="s">
        <v>3177</v>
      </c>
      <c r="AP248" s="9" t="s">
        <v>2186</v>
      </c>
      <c r="AQ248" s="9" t="s">
        <v>3178</v>
      </c>
      <c r="AR248" t="b">
        <v>1</v>
      </c>
      <c r="AS248" s="10">
        <v>45657</v>
      </c>
      <c r="AT248" s="10">
        <v>46022</v>
      </c>
      <c r="AU248" s="9" t="s">
        <v>612</v>
      </c>
      <c r="AV248" t="b">
        <v>0</v>
      </c>
      <c r="AW248" s="12"/>
      <c r="AX248" s="11">
        <v>6000</v>
      </c>
      <c r="AY248" s="9"/>
      <c r="AZ248" t="b">
        <v>0</v>
      </c>
      <c r="BA248" s="9"/>
      <c r="BB248" s="12"/>
      <c r="BC248" s="11"/>
      <c r="BD248" s="9" t="s">
        <v>300</v>
      </c>
      <c r="BE248" s="9" t="s">
        <v>301</v>
      </c>
      <c r="BF248" s="9" t="s">
        <v>1111</v>
      </c>
      <c r="BG248" s="9" t="s">
        <v>303</v>
      </c>
      <c r="BH248" s="9" t="s">
        <v>304</v>
      </c>
      <c r="BI248" s="9" t="s">
        <v>981</v>
      </c>
      <c r="BJ248" s="9" t="s">
        <v>982</v>
      </c>
      <c r="BK248" s="11">
        <v>856</v>
      </c>
      <c r="BL248" s="16">
        <v>120.01788000000001</v>
      </c>
      <c r="BM248" s="10">
        <v>45499</v>
      </c>
      <c r="BN248" s="10">
        <v>45744</v>
      </c>
      <c r="BO248" s="10"/>
      <c r="BP248" s="16"/>
      <c r="BQ248" s="16"/>
      <c r="BR248" s="9" t="s">
        <v>3179</v>
      </c>
      <c r="BS248" s="9" t="s">
        <v>3180</v>
      </c>
      <c r="BT248" s="9" t="s">
        <v>3156</v>
      </c>
      <c r="BU248" s="9" t="s">
        <v>3170</v>
      </c>
      <c r="BV248" s="9"/>
      <c r="BW248" s="10"/>
      <c r="BX248" s="15" t="s">
        <v>3181</v>
      </c>
      <c r="BY248" s="10"/>
      <c r="BZ248" s="10"/>
      <c r="CA248" s="10"/>
      <c r="CC248" s="9" t="s">
        <v>308</v>
      </c>
      <c r="CD248" s="9" t="s">
        <v>309</v>
      </c>
    </row>
    <row r="249" spans="1:82">
      <c r="A249" s="8">
        <v>49476</v>
      </c>
      <c r="B249" s="9" t="s">
        <v>3168</v>
      </c>
      <c r="C249" s="9" t="s">
        <v>970</v>
      </c>
      <c r="D249" s="10">
        <v>45483</v>
      </c>
      <c r="E249" s="9" t="s">
        <v>3182</v>
      </c>
      <c r="F249" s="9" t="s">
        <v>3170</v>
      </c>
      <c r="G249" s="9" t="s">
        <v>3156</v>
      </c>
      <c r="H249" s="9" t="s">
        <v>281</v>
      </c>
      <c r="I249" s="9" t="s">
        <v>282</v>
      </c>
      <c r="J249" s="9" t="s">
        <v>283</v>
      </c>
      <c r="K249" s="9" t="s">
        <v>284</v>
      </c>
      <c r="L249" s="9" t="s">
        <v>3183</v>
      </c>
      <c r="M249" s="9" t="s">
        <v>3184</v>
      </c>
      <c r="N249" s="8">
        <v>1</v>
      </c>
      <c r="O249" s="9" t="s">
        <v>3185</v>
      </c>
      <c r="P249" s="11">
        <v>199.2</v>
      </c>
      <c r="Q249" s="11">
        <v>165</v>
      </c>
      <c r="R249" s="11">
        <v>164</v>
      </c>
      <c r="S249" s="11">
        <v>1079.52</v>
      </c>
      <c r="T249" s="11">
        <v>215040.38399999999</v>
      </c>
      <c r="U249" s="12">
        <v>5.2999999999999999E-2</v>
      </c>
      <c r="V249" s="12">
        <v>0.86299999999999999</v>
      </c>
      <c r="W249" s="11">
        <v>1101.2</v>
      </c>
      <c r="X249" s="9" t="s">
        <v>288</v>
      </c>
      <c r="Y249" s="10">
        <v>44939</v>
      </c>
      <c r="Z249" s="13">
        <v>0.13109999999999999</v>
      </c>
      <c r="AA249" t="b">
        <v>1</v>
      </c>
      <c r="AC249" s="9" t="s">
        <v>289</v>
      </c>
      <c r="AD249" s="9" t="s">
        <v>290</v>
      </c>
      <c r="AE249" s="8">
        <v>929.69856000000004</v>
      </c>
      <c r="AF249" s="14">
        <v>45.952309999999997</v>
      </c>
      <c r="AG249" s="14">
        <v>3.9520599999999999</v>
      </c>
      <c r="AH249" s="9" t="s">
        <v>483</v>
      </c>
      <c r="AI249" s="15" t="s">
        <v>319</v>
      </c>
      <c r="AJ249" s="9" t="s">
        <v>293</v>
      </c>
      <c r="AK249" s="9" t="s">
        <v>3174</v>
      </c>
      <c r="AL249" s="9" t="s">
        <v>3175</v>
      </c>
      <c r="AM249" s="9"/>
      <c r="AN249" s="9" t="s">
        <v>3176</v>
      </c>
      <c r="AO249" s="9" t="s">
        <v>3177</v>
      </c>
      <c r="AP249" s="9" t="s">
        <v>43</v>
      </c>
      <c r="AQ249" s="9" t="s">
        <v>847</v>
      </c>
      <c r="AR249" t="b">
        <v>0</v>
      </c>
      <c r="AS249" s="10"/>
      <c r="AT249" s="10" t="s">
        <v>299</v>
      </c>
      <c r="AU249" s="9"/>
      <c r="AV249" t="b">
        <v>0</v>
      </c>
      <c r="AW249" s="12"/>
      <c r="AX249" s="11"/>
      <c r="AY249" s="9"/>
      <c r="AZ249" t="b">
        <v>0</v>
      </c>
      <c r="BA249" s="9"/>
      <c r="BB249" s="12"/>
      <c r="BC249" s="11"/>
      <c r="BD249" s="9" t="s">
        <v>300</v>
      </c>
      <c r="BE249" s="9" t="s">
        <v>301</v>
      </c>
      <c r="BF249" s="9" t="s">
        <v>1111</v>
      </c>
      <c r="BG249" s="9" t="s">
        <v>303</v>
      </c>
      <c r="BH249" s="9" t="s">
        <v>304</v>
      </c>
      <c r="BI249" s="9" t="s">
        <v>981</v>
      </c>
      <c r="BJ249" s="9" t="s">
        <v>982</v>
      </c>
      <c r="BK249" s="11">
        <v>856</v>
      </c>
      <c r="BL249" s="16">
        <v>138.2064</v>
      </c>
      <c r="BM249" s="10">
        <v>45499</v>
      </c>
      <c r="BN249" s="10">
        <v>45737</v>
      </c>
      <c r="BO249" s="10"/>
      <c r="BP249" s="16"/>
      <c r="BQ249" s="16"/>
      <c r="BR249" s="9" t="s">
        <v>3186</v>
      </c>
      <c r="BS249" s="9" t="s">
        <v>3187</v>
      </c>
      <c r="BT249" s="9" t="s">
        <v>3188</v>
      </c>
      <c r="BU249" s="9" t="s">
        <v>3170</v>
      </c>
      <c r="BV249" s="9"/>
      <c r="BW249" s="10"/>
      <c r="BX249" s="15" t="s">
        <v>3181</v>
      </c>
      <c r="BY249" s="10"/>
      <c r="BZ249" s="10"/>
      <c r="CA249" s="10"/>
      <c r="CC249" s="9" t="s">
        <v>308</v>
      </c>
      <c r="CD249" s="9" t="s">
        <v>309</v>
      </c>
    </row>
    <row r="250" spans="1:82">
      <c r="A250" s="8">
        <v>26672</v>
      </c>
      <c r="B250" s="9" t="s">
        <v>3189</v>
      </c>
      <c r="C250" s="9" t="s">
        <v>1257</v>
      </c>
      <c r="D250" s="10">
        <v>45478</v>
      </c>
      <c r="E250" s="9" t="s">
        <v>3190</v>
      </c>
      <c r="F250" s="9" t="s">
        <v>3191</v>
      </c>
      <c r="G250" s="9" t="s">
        <v>3192</v>
      </c>
      <c r="H250" s="9" t="s">
        <v>281</v>
      </c>
      <c r="I250" s="9" t="s">
        <v>282</v>
      </c>
      <c r="J250" s="9" t="s">
        <v>283</v>
      </c>
      <c r="K250" s="9" t="s">
        <v>284</v>
      </c>
      <c r="L250" s="9" t="s">
        <v>3193</v>
      </c>
      <c r="M250" s="9" t="s">
        <v>3194</v>
      </c>
      <c r="N250" s="8">
        <v>1</v>
      </c>
      <c r="O250" s="9" t="s">
        <v>3195</v>
      </c>
      <c r="P250" s="11">
        <v>174.15</v>
      </c>
      <c r="Q250" s="11">
        <v>192.5</v>
      </c>
      <c r="R250" s="11">
        <v>143</v>
      </c>
      <c r="S250" s="11">
        <v>1205</v>
      </c>
      <c r="T250" s="11">
        <v>209850.75</v>
      </c>
      <c r="U250" s="12">
        <v>0.05</v>
      </c>
      <c r="V250" s="12">
        <v>0.85599999999999998</v>
      </c>
      <c r="W250" s="11">
        <v>1223.2</v>
      </c>
      <c r="X250" s="9" t="s">
        <v>288</v>
      </c>
      <c r="Y250" s="10">
        <v>44939</v>
      </c>
      <c r="Z250" s="13">
        <v>0.13109999999999999</v>
      </c>
      <c r="AC250" s="9" t="s">
        <v>289</v>
      </c>
      <c r="AD250" s="9" t="s">
        <v>290</v>
      </c>
      <c r="AE250" s="8">
        <v>817.20899999999995</v>
      </c>
      <c r="AF250" s="14">
        <v>43.266800000000003</v>
      </c>
      <c r="AG250" s="14">
        <v>-0.24887000000000001</v>
      </c>
      <c r="AH250" s="9" t="s">
        <v>483</v>
      </c>
      <c r="AI250" s="15" t="s">
        <v>319</v>
      </c>
      <c r="AJ250" s="9" t="s">
        <v>293</v>
      </c>
      <c r="AK250" s="9" t="s">
        <v>3196</v>
      </c>
      <c r="AL250" s="9" t="s">
        <v>3197</v>
      </c>
      <c r="AM250" s="9"/>
      <c r="AN250" s="9" t="s">
        <v>3198</v>
      </c>
      <c r="AO250" s="9"/>
      <c r="AP250" s="9" t="s">
        <v>371</v>
      </c>
      <c r="AQ250" s="9" t="s">
        <v>298</v>
      </c>
      <c r="AR250" t="b">
        <v>0</v>
      </c>
      <c r="AS250" s="10"/>
      <c r="AT250" s="10" t="s">
        <v>299</v>
      </c>
      <c r="AU250" s="9"/>
      <c r="AV250" t="b">
        <v>0</v>
      </c>
      <c r="AW250" s="12"/>
      <c r="AX250" s="11"/>
      <c r="AY250" s="9"/>
      <c r="AZ250" t="b">
        <v>0</v>
      </c>
      <c r="BA250" s="9"/>
      <c r="BB250" s="12"/>
      <c r="BC250" s="11"/>
      <c r="BD250" s="9" t="s">
        <v>325</v>
      </c>
      <c r="BE250" s="9" t="s">
        <v>47</v>
      </c>
      <c r="BF250" s="9" t="s">
        <v>1111</v>
      </c>
      <c r="BG250" s="9" t="s">
        <v>749</v>
      </c>
      <c r="BH250" s="9" t="s">
        <v>304</v>
      </c>
      <c r="BI250" s="9" t="s">
        <v>1267</v>
      </c>
      <c r="BJ250" s="9" t="s">
        <v>1268</v>
      </c>
      <c r="BK250" s="11">
        <v>856</v>
      </c>
      <c r="BL250" s="16">
        <v>129.01304999999999</v>
      </c>
      <c r="BM250" s="10">
        <v>45754</v>
      </c>
      <c r="BN250" s="10">
        <v>45792</v>
      </c>
      <c r="BO250" s="10"/>
      <c r="BP250" s="16"/>
      <c r="BQ250" s="16"/>
      <c r="BR250" s="9" t="s">
        <v>3199</v>
      </c>
      <c r="BS250" s="9" t="s">
        <v>3200</v>
      </c>
      <c r="BT250" s="9" t="s">
        <v>3192</v>
      </c>
      <c r="BU250" s="9" t="s">
        <v>3201</v>
      </c>
      <c r="BV250" s="9"/>
      <c r="BW250" s="10"/>
      <c r="BX250" s="15" t="s">
        <v>3140</v>
      </c>
      <c r="BY250" s="10"/>
      <c r="BZ250" s="10"/>
      <c r="CA250" s="10"/>
      <c r="CC250" s="9" t="s">
        <v>308</v>
      </c>
      <c r="CD250" s="9" t="s">
        <v>309</v>
      </c>
    </row>
    <row r="251" spans="1:82">
      <c r="A251" s="8">
        <v>34612</v>
      </c>
      <c r="B251" s="9" t="s">
        <v>3202</v>
      </c>
      <c r="C251" s="9" t="s">
        <v>475</v>
      </c>
      <c r="D251" s="10">
        <v>45477</v>
      </c>
      <c r="E251" s="9" t="s">
        <v>3203</v>
      </c>
      <c r="F251" s="9" t="s">
        <v>3204</v>
      </c>
      <c r="G251" s="9" t="s">
        <v>3205</v>
      </c>
      <c r="H251" s="9" t="s">
        <v>281</v>
      </c>
      <c r="I251" s="9" t="s">
        <v>282</v>
      </c>
      <c r="J251" s="9" t="s">
        <v>283</v>
      </c>
      <c r="K251" s="9" t="s">
        <v>284</v>
      </c>
      <c r="L251" s="9" t="s">
        <v>3206</v>
      </c>
      <c r="M251" s="9" t="s">
        <v>3207</v>
      </c>
      <c r="N251" s="8">
        <v>1</v>
      </c>
      <c r="O251" s="9" t="s">
        <v>3208</v>
      </c>
      <c r="P251" s="11">
        <v>295</v>
      </c>
      <c r="Q251" s="11">
        <v>242</v>
      </c>
      <c r="R251" s="11">
        <v>242</v>
      </c>
      <c r="S251" s="11">
        <v>1084.44</v>
      </c>
      <c r="T251" s="11">
        <v>319909.8</v>
      </c>
      <c r="U251" s="12">
        <v>5.2999999999999999E-2</v>
      </c>
      <c r="V251" s="12">
        <v>0.85699999999999998</v>
      </c>
      <c r="W251" s="11">
        <v>1113.3</v>
      </c>
      <c r="X251" s="9" t="s">
        <v>288</v>
      </c>
      <c r="Y251" s="10">
        <v>44782</v>
      </c>
      <c r="Z251" s="13">
        <v>0.12870000000000001</v>
      </c>
      <c r="AC251" s="9" t="s">
        <v>289</v>
      </c>
      <c r="AD251" s="9" t="s">
        <v>290</v>
      </c>
      <c r="AE251" s="8">
        <v>1422</v>
      </c>
      <c r="AF251" s="14">
        <v>45.746870000000001</v>
      </c>
      <c r="AG251" s="14">
        <v>-0.48314000000000001</v>
      </c>
      <c r="AH251" s="9" t="s">
        <v>483</v>
      </c>
      <c r="AI251" s="15" t="s">
        <v>319</v>
      </c>
      <c r="AJ251" s="9" t="s">
        <v>293</v>
      </c>
      <c r="AK251" s="9" t="s">
        <v>3209</v>
      </c>
      <c r="AL251" s="9" t="s">
        <v>3210</v>
      </c>
      <c r="AM251" s="9"/>
      <c r="AN251" s="9" t="s">
        <v>3211</v>
      </c>
      <c r="AO251" s="9"/>
      <c r="AP251" s="9" t="s">
        <v>2186</v>
      </c>
      <c r="AQ251" s="9" t="s">
        <v>298</v>
      </c>
      <c r="AR251" t="b">
        <v>0</v>
      </c>
      <c r="AS251" s="10"/>
      <c r="AT251" s="10" t="s">
        <v>299</v>
      </c>
      <c r="AU251" s="9"/>
      <c r="AV251" t="b">
        <v>0</v>
      </c>
      <c r="AW251" s="12"/>
      <c r="AX251" s="11"/>
      <c r="AY251" s="9"/>
      <c r="AZ251" t="b">
        <v>0</v>
      </c>
      <c r="BA251" s="9"/>
      <c r="BB251" s="12"/>
      <c r="BC251" s="11"/>
      <c r="BD251" s="9" t="s">
        <v>325</v>
      </c>
      <c r="BE251" s="9" t="s">
        <v>47</v>
      </c>
      <c r="BF251" s="9" t="s">
        <v>302</v>
      </c>
      <c r="BG251" s="9" t="s">
        <v>749</v>
      </c>
      <c r="BH251" s="9" t="s">
        <v>304</v>
      </c>
      <c r="BI251" s="9" t="s">
        <v>490</v>
      </c>
      <c r="BJ251" s="9" t="s">
        <v>491</v>
      </c>
      <c r="BK251" s="11">
        <v>856</v>
      </c>
      <c r="BL251" s="16">
        <v>173.36500000000001</v>
      </c>
      <c r="BM251" s="10">
        <v>45613</v>
      </c>
      <c r="BN251" s="10">
        <v>45640</v>
      </c>
      <c r="BO251" s="10"/>
      <c r="BP251" s="16"/>
      <c r="BQ251" s="16"/>
      <c r="BR251" s="9" t="s">
        <v>3212</v>
      </c>
      <c r="BS251" s="9" t="s">
        <v>3203</v>
      </c>
      <c r="BT251" s="9" t="s">
        <v>3213</v>
      </c>
      <c r="BU251" s="9" t="s">
        <v>3204</v>
      </c>
      <c r="BV251" s="9" t="s">
        <v>3214</v>
      </c>
      <c r="BW251" s="10"/>
      <c r="BX251" s="15" t="s">
        <v>3215</v>
      </c>
      <c r="BY251" s="10"/>
      <c r="BZ251" s="10"/>
      <c r="CA251" s="10"/>
      <c r="CC251" s="9" t="s">
        <v>308</v>
      </c>
      <c r="CD251" s="9" t="s">
        <v>309</v>
      </c>
    </row>
    <row r="252" spans="1:82">
      <c r="A252" s="8">
        <v>27651</v>
      </c>
      <c r="B252" s="9" t="s">
        <v>3216</v>
      </c>
      <c r="C252" s="9" t="s">
        <v>475</v>
      </c>
      <c r="D252" s="10">
        <v>45469</v>
      </c>
      <c r="E252" s="9" t="s">
        <v>3217</v>
      </c>
      <c r="F252" s="9" t="s">
        <v>3218</v>
      </c>
      <c r="G252" s="9" t="s">
        <v>3219</v>
      </c>
      <c r="H252" s="9" t="s">
        <v>281</v>
      </c>
      <c r="I252" s="9" t="s">
        <v>282</v>
      </c>
      <c r="J252" s="9" t="s">
        <v>283</v>
      </c>
      <c r="K252" s="9" t="s">
        <v>284</v>
      </c>
      <c r="L252" s="9" t="s">
        <v>3220</v>
      </c>
      <c r="M252" s="9" t="s">
        <v>3221</v>
      </c>
      <c r="N252" s="8">
        <v>1</v>
      </c>
      <c r="O252" s="9" t="s">
        <v>3222</v>
      </c>
      <c r="P252" s="11">
        <v>291</v>
      </c>
      <c r="Q252" s="11">
        <v>242</v>
      </c>
      <c r="R252" s="11">
        <v>242</v>
      </c>
      <c r="S252" s="11">
        <v>1271.58</v>
      </c>
      <c r="T252" s="11">
        <v>370029.78</v>
      </c>
      <c r="U252" s="12">
        <v>5.3999999999999999E-2</v>
      </c>
      <c r="V252" s="12">
        <v>0.85499999999999998</v>
      </c>
      <c r="W252" s="11">
        <v>1288.5999999999999</v>
      </c>
      <c r="X252" s="9" t="s">
        <v>288</v>
      </c>
      <c r="Y252" s="10">
        <v>44701</v>
      </c>
      <c r="Z252" s="13">
        <v>0.12870000000000001</v>
      </c>
      <c r="AC252" s="9" t="s">
        <v>289</v>
      </c>
      <c r="AD252" s="9" t="s">
        <v>290</v>
      </c>
      <c r="AE252" s="8">
        <v>1359</v>
      </c>
      <c r="AF252" s="14">
        <v>45.393149999999999</v>
      </c>
      <c r="AG252" s="14">
        <v>4.9253200000000001</v>
      </c>
      <c r="AH252" s="9" t="s">
        <v>483</v>
      </c>
      <c r="AI252" s="15" t="s">
        <v>319</v>
      </c>
      <c r="AJ252" s="9" t="s">
        <v>293</v>
      </c>
      <c r="AK252" s="9" t="s">
        <v>3223</v>
      </c>
      <c r="AL252" s="9" t="s">
        <v>3224</v>
      </c>
      <c r="AM252" s="9"/>
      <c r="AN252" s="9" t="s">
        <v>3225</v>
      </c>
      <c r="AO252" s="9"/>
      <c r="AP252" s="9" t="s">
        <v>68</v>
      </c>
      <c r="AQ252" s="9" t="s">
        <v>298</v>
      </c>
      <c r="AR252" t="b">
        <v>0</v>
      </c>
      <c r="AS252" s="10"/>
      <c r="AT252" s="10" t="s">
        <v>299</v>
      </c>
      <c r="AU252" s="9"/>
      <c r="AV252" t="b">
        <v>0</v>
      </c>
      <c r="AW252" s="12"/>
      <c r="AX252" s="11"/>
      <c r="AY252" s="9"/>
      <c r="AZ252" t="b">
        <v>0</v>
      </c>
      <c r="BA252" s="9"/>
      <c r="BB252" s="12"/>
      <c r="BC252" s="11"/>
      <c r="BD252" s="9" t="s">
        <v>300</v>
      </c>
      <c r="BE252" s="9" t="s">
        <v>47</v>
      </c>
      <c r="BF252" s="9" t="s">
        <v>1111</v>
      </c>
      <c r="BG252" s="9" t="s">
        <v>303</v>
      </c>
      <c r="BH252" s="9" t="s">
        <v>304</v>
      </c>
      <c r="BI252" s="9" t="s">
        <v>490</v>
      </c>
      <c r="BJ252" s="9" t="s">
        <v>491</v>
      </c>
      <c r="BK252" s="11">
        <v>856</v>
      </c>
      <c r="BL252" s="16">
        <v>171.89699999999999</v>
      </c>
      <c r="BM252" s="10">
        <v>45485</v>
      </c>
      <c r="BN252" s="10">
        <v>45640</v>
      </c>
      <c r="BO252" s="10"/>
      <c r="BP252" s="16"/>
      <c r="BQ252" s="16"/>
      <c r="BR252" s="9" t="s">
        <v>3226</v>
      </c>
      <c r="BS252" s="9" t="s">
        <v>3227</v>
      </c>
      <c r="BT252" s="9" t="s">
        <v>3228</v>
      </c>
      <c r="BU252" s="9" t="s">
        <v>3218</v>
      </c>
      <c r="BV252" s="9"/>
      <c r="BW252" s="10"/>
      <c r="BX252" s="15" t="s">
        <v>3229</v>
      </c>
      <c r="BY252" s="10"/>
      <c r="BZ252" s="10"/>
      <c r="CA252" s="10"/>
      <c r="CC252" s="9" t="s">
        <v>308</v>
      </c>
      <c r="CD252" s="9" t="s">
        <v>309</v>
      </c>
    </row>
    <row r="253" spans="1:82">
      <c r="A253" s="8">
        <v>49212</v>
      </c>
      <c r="B253" s="9" t="s">
        <v>3230</v>
      </c>
      <c r="C253" s="9" t="s">
        <v>475</v>
      </c>
      <c r="D253" s="10">
        <v>45468</v>
      </c>
      <c r="E253" s="9" t="s">
        <v>3231</v>
      </c>
      <c r="F253" s="9" t="s">
        <v>2486</v>
      </c>
      <c r="G253" s="9" t="s">
        <v>3232</v>
      </c>
      <c r="H253" s="9" t="s">
        <v>281</v>
      </c>
      <c r="I253" s="9" t="s">
        <v>282</v>
      </c>
      <c r="J253" s="9" t="s">
        <v>283</v>
      </c>
      <c r="K253" s="9" t="s">
        <v>284</v>
      </c>
      <c r="L253" s="9" t="s">
        <v>3233</v>
      </c>
      <c r="M253" s="9" t="s">
        <v>3234</v>
      </c>
      <c r="N253" s="8">
        <v>1</v>
      </c>
      <c r="O253" s="9" t="s">
        <v>3235</v>
      </c>
      <c r="P253" s="11">
        <v>215</v>
      </c>
      <c r="Q253" s="11">
        <v>176</v>
      </c>
      <c r="R253" s="11">
        <v>176</v>
      </c>
      <c r="S253" s="11">
        <v>1180</v>
      </c>
      <c r="T253" s="11">
        <v>253700</v>
      </c>
      <c r="U253" s="12">
        <v>0.05</v>
      </c>
      <c r="V253" s="12">
        <v>0.85599999999999998</v>
      </c>
      <c r="W253" s="11">
        <v>1159.7</v>
      </c>
      <c r="X253" s="9" t="s">
        <v>288</v>
      </c>
      <c r="Y253" s="10">
        <v>44538</v>
      </c>
      <c r="Z253" s="13">
        <v>0.12280000000000001</v>
      </c>
      <c r="AC253" s="9" t="s">
        <v>289</v>
      </c>
      <c r="AD253" s="9" t="s">
        <v>290</v>
      </c>
      <c r="AE253" s="8">
        <v>1007</v>
      </c>
      <c r="AF253" s="14">
        <v>44.356639999999999</v>
      </c>
      <c r="AG253" s="14">
        <v>1.1575500000000001</v>
      </c>
      <c r="AH253" s="9" t="s">
        <v>483</v>
      </c>
      <c r="AI253" s="15" t="s">
        <v>319</v>
      </c>
      <c r="AJ253" s="9" t="s">
        <v>293</v>
      </c>
      <c r="AK253" s="9" t="s">
        <v>3236</v>
      </c>
      <c r="AL253" s="9" t="s">
        <v>3237</v>
      </c>
      <c r="AM253" s="9"/>
      <c r="AN253" s="9" t="s">
        <v>3238</v>
      </c>
      <c r="AO253" s="9"/>
      <c r="AP253" s="9" t="s">
        <v>3239</v>
      </c>
      <c r="AQ253" s="9" t="s">
        <v>298</v>
      </c>
      <c r="AR253" t="b">
        <v>0</v>
      </c>
      <c r="AS253" s="10"/>
      <c r="AT253" s="10" t="s">
        <v>299</v>
      </c>
      <c r="AU253" s="9"/>
      <c r="AV253" t="b">
        <v>0</v>
      </c>
      <c r="AW253" s="12"/>
      <c r="AX253" s="11"/>
      <c r="AY253" s="9"/>
      <c r="AZ253" t="b">
        <v>0</v>
      </c>
      <c r="BA253" s="9"/>
      <c r="BB253" s="12"/>
      <c r="BC253" s="11"/>
      <c r="BD253" s="9" t="s">
        <v>325</v>
      </c>
      <c r="BE253" s="9" t="s">
        <v>47</v>
      </c>
      <c r="BF253" s="9" t="s">
        <v>702</v>
      </c>
      <c r="BG253" s="9" t="s">
        <v>749</v>
      </c>
      <c r="BH253" s="9" t="s">
        <v>304</v>
      </c>
      <c r="BI253" s="9" t="s">
        <v>490</v>
      </c>
      <c r="BJ253" s="9" t="s">
        <v>491</v>
      </c>
      <c r="BK253" s="11">
        <v>856</v>
      </c>
      <c r="BL253" s="16">
        <v>144.005</v>
      </c>
      <c r="BM253" s="10">
        <v>45604</v>
      </c>
      <c r="BN253" s="10">
        <v>45636</v>
      </c>
      <c r="BO253" s="10"/>
      <c r="BP253" s="16"/>
      <c r="BQ253" s="16"/>
      <c r="BR253" s="9" t="s">
        <v>3240</v>
      </c>
      <c r="BS253" s="9" t="s">
        <v>3241</v>
      </c>
      <c r="BT253" s="9" t="s">
        <v>3242</v>
      </c>
      <c r="BU253" s="9" t="s">
        <v>2486</v>
      </c>
      <c r="BV253" s="9"/>
      <c r="BW253" s="10"/>
      <c r="BX253" s="15" t="s">
        <v>3243</v>
      </c>
      <c r="BY253" s="10">
        <v>45468</v>
      </c>
      <c r="BZ253" s="10">
        <v>52634</v>
      </c>
      <c r="CA253" s="10">
        <v>45888</v>
      </c>
      <c r="CC253" s="9" t="s">
        <v>308</v>
      </c>
      <c r="CD253" s="9" t="s">
        <v>309</v>
      </c>
    </row>
    <row r="254" spans="1:82">
      <c r="A254" s="8">
        <v>69287</v>
      </c>
      <c r="B254" s="9" t="s">
        <v>3244</v>
      </c>
      <c r="C254" s="9" t="s">
        <v>475</v>
      </c>
      <c r="D254" s="10">
        <v>45468</v>
      </c>
      <c r="E254" s="9" t="s">
        <v>3245</v>
      </c>
      <c r="F254" s="9" t="s">
        <v>3246</v>
      </c>
      <c r="G254" s="9" t="s">
        <v>3247</v>
      </c>
      <c r="H254" s="9" t="s">
        <v>281</v>
      </c>
      <c r="I254" s="9" t="s">
        <v>282</v>
      </c>
      <c r="J254" s="9" t="s">
        <v>283</v>
      </c>
      <c r="K254" s="9" t="s">
        <v>284</v>
      </c>
      <c r="L254" s="9" t="s">
        <v>3248</v>
      </c>
      <c r="M254" s="9" t="s">
        <v>3249</v>
      </c>
      <c r="N254" s="8">
        <v>2</v>
      </c>
      <c r="O254" s="9" t="s">
        <v>3250</v>
      </c>
      <c r="P254" s="11">
        <v>496</v>
      </c>
      <c r="Q254" s="11">
        <v>440</v>
      </c>
      <c r="R254" s="11">
        <v>414</v>
      </c>
      <c r="S254" s="11">
        <v>1340.42</v>
      </c>
      <c r="T254" s="11">
        <v>664848.31999999995</v>
      </c>
      <c r="U254" s="12">
        <v>5.3999999999999999E-2</v>
      </c>
      <c r="V254" s="12">
        <v>0.84199999999999997</v>
      </c>
      <c r="W254" s="11">
        <v>1335.6</v>
      </c>
      <c r="X254" s="9" t="s">
        <v>288</v>
      </c>
      <c r="Y254" s="10">
        <v>44712</v>
      </c>
      <c r="Z254" s="13">
        <v>0.13120000000000001</v>
      </c>
      <c r="AC254" s="9" t="s">
        <v>289</v>
      </c>
      <c r="AD254" s="9" t="s">
        <v>290</v>
      </c>
      <c r="AE254" s="8">
        <v>2316</v>
      </c>
      <c r="AF254" s="14">
        <v>43.816580000000002</v>
      </c>
      <c r="AG254" s="14">
        <v>4.9618399999999996</v>
      </c>
      <c r="AH254" s="9" t="s">
        <v>483</v>
      </c>
      <c r="AI254" s="15" t="s">
        <v>396</v>
      </c>
      <c r="AJ254" s="9" t="s">
        <v>293</v>
      </c>
      <c r="AK254" s="9" t="s">
        <v>3251</v>
      </c>
      <c r="AL254" s="9" t="s">
        <v>3252</v>
      </c>
      <c r="AM254" s="9"/>
      <c r="AN254" s="9" t="s">
        <v>3253</v>
      </c>
      <c r="AO254" s="9"/>
      <c r="AP254" s="9" t="s">
        <v>108</v>
      </c>
      <c r="AQ254" s="9" t="s">
        <v>298</v>
      </c>
      <c r="AR254" t="b">
        <v>0</v>
      </c>
      <c r="AS254" s="10"/>
      <c r="AT254" s="10" t="s">
        <v>299</v>
      </c>
      <c r="AU254" s="9"/>
      <c r="AV254" t="b">
        <v>0</v>
      </c>
      <c r="AW254" s="12"/>
      <c r="AX254" s="11"/>
      <c r="AY254" s="9"/>
      <c r="AZ254" t="b">
        <v>0</v>
      </c>
      <c r="BA254" s="9"/>
      <c r="BB254" s="12"/>
      <c r="BC254" s="11"/>
      <c r="BD254" s="9" t="s">
        <v>300</v>
      </c>
      <c r="BE254" s="9" t="s">
        <v>47</v>
      </c>
      <c r="BF254" s="9" t="s">
        <v>302</v>
      </c>
      <c r="BG254" s="9" t="s">
        <v>967</v>
      </c>
      <c r="BH254" s="9" t="s">
        <v>304</v>
      </c>
      <c r="BI254" s="9" t="s">
        <v>490</v>
      </c>
      <c r="BJ254" s="9" t="s">
        <v>491</v>
      </c>
      <c r="BK254" s="11">
        <v>856</v>
      </c>
      <c r="BL254" s="16">
        <v>247.13200000000001</v>
      </c>
      <c r="BM254" s="10">
        <v>45485</v>
      </c>
      <c r="BN254" s="10">
        <v>45640</v>
      </c>
      <c r="BO254" s="10"/>
      <c r="BP254" s="16"/>
      <c r="BQ254" s="16"/>
      <c r="BR254" s="9"/>
      <c r="BS254" s="9"/>
      <c r="BT254" s="9"/>
      <c r="BU254" s="9"/>
      <c r="BV254" s="9"/>
      <c r="BW254" s="10"/>
      <c r="BX254" s="15" t="s">
        <v>3254</v>
      </c>
      <c r="BY254" s="10"/>
      <c r="BZ254" s="10"/>
      <c r="CA254" s="10"/>
      <c r="CC254" s="9" t="s">
        <v>308</v>
      </c>
      <c r="CD254" s="9" t="s">
        <v>309</v>
      </c>
    </row>
    <row r="255" spans="1:82">
      <c r="A255" s="8">
        <v>19653</v>
      </c>
      <c r="B255" s="9" t="s">
        <v>3255</v>
      </c>
      <c r="C255" s="9" t="s">
        <v>475</v>
      </c>
      <c r="D255" s="10">
        <v>45467</v>
      </c>
      <c r="E255" s="9" t="s">
        <v>3256</v>
      </c>
      <c r="F255" s="9" t="s">
        <v>3257</v>
      </c>
      <c r="G255" s="9" t="s">
        <v>3258</v>
      </c>
      <c r="H255" s="9" t="s">
        <v>281</v>
      </c>
      <c r="I255" s="9" t="s">
        <v>282</v>
      </c>
      <c r="J255" s="9" t="s">
        <v>283</v>
      </c>
      <c r="K255" s="9" t="s">
        <v>284</v>
      </c>
      <c r="L255" s="9" t="s">
        <v>3259</v>
      </c>
      <c r="M255" s="9" t="s">
        <v>3260</v>
      </c>
      <c r="N255" s="8">
        <v>1</v>
      </c>
      <c r="O255" s="9" t="s">
        <v>3261</v>
      </c>
      <c r="P255" s="11">
        <v>291.33</v>
      </c>
      <c r="Q255" s="11">
        <v>220</v>
      </c>
      <c r="R255" s="11">
        <v>231</v>
      </c>
      <c r="S255" s="11">
        <v>1213.6099999999999</v>
      </c>
      <c r="T255" s="11">
        <v>353561.0013</v>
      </c>
      <c r="U255" s="12">
        <v>5.3999999999999999E-2</v>
      </c>
      <c r="V255" s="12">
        <v>0.85599999999999998</v>
      </c>
      <c r="W255" s="11">
        <v>1179.5999999999999</v>
      </c>
      <c r="X255" s="9" t="s">
        <v>288</v>
      </c>
      <c r="Y255" s="10">
        <v>44565</v>
      </c>
      <c r="Z255" s="13">
        <v>0.12280000000000001</v>
      </c>
      <c r="AC255" s="9" t="s">
        <v>289</v>
      </c>
      <c r="AD255" s="9" t="s">
        <v>290</v>
      </c>
      <c r="AE255" s="8">
        <v>1359.6841400000001</v>
      </c>
      <c r="AF255" s="14">
        <v>43.3752</v>
      </c>
      <c r="AG255" s="14">
        <v>0.22461999999999999</v>
      </c>
      <c r="AH255" s="9" t="s">
        <v>483</v>
      </c>
      <c r="AI255" s="15" t="s">
        <v>319</v>
      </c>
      <c r="AJ255" s="9" t="s">
        <v>293</v>
      </c>
      <c r="AK255" s="9" t="s">
        <v>3262</v>
      </c>
      <c r="AL255" s="9" t="s">
        <v>3263</v>
      </c>
      <c r="AM255" s="9"/>
      <c r="AN255" s="9" t="s">
        <v>3264</v>
      </c>
      <c r="AO255" s="9"/>
      <c r="AP255" s="9" t="s">
        <v>2946</v>
      </c>
      <c r="AQ255" s="9" t="s">
        <v>298</v>
      </c>
      <c r="AR255" t="b">
        <v>0</v>
      </c>
      <c r="AS255" s="10"/>
      <c r="AT255" s="10" t="s">
        <v>299</v>
      </c>
      <c r="AU255" s="9"/>
      <c r="AV255" t="b">
        <v>0</v>
      </c>
      <c r="AW255" s="12"/>
      <c r="AX255" s="11"/>
      <c r="AY255" s="9"/>
      <c r="AZ255" t="b">
        <v>0</v>
      </c>
      <c r="BA255" s="9"/>
      <c r="BB255" s="12"/>
      <c r="BC255" s="11"/>
      <c r="BD255" s="9" t="s">
        <v>325</v>
      </c>
      <c r="BE255" s="9" t="s">
        <v>47</v>
      </c>
      <c r="BF255" s="9" t="s">
        <v>1111</v>
      </c>
      <c r="BG255" s="9" t="s">
        <v>749</v>
      </c>
      <c r="BH255" s="9" t="s">
        <v>304</v>
      </c>
      <c r="BI255" s="9" t="s">
        <v>490</v>
      </c>
      <c r="BJ255" s="9" t="s">
        <v>491</v>
      </c>
      <c r="BK255" s="11">
        <v>856</v>
      </c>
      <c r="BL255" s="16">
        <v>172.01811000000001</v>
      </c>
      <c r="BM255" s="10">
        <v>45765</v>
      </c>
      <c r="BN255" s="10">
        <v>45793</v>
      </c>
      <c r="BO255" s="10"/>
      <c r="BP255" s="16"/>
      <c r="BQ255" s="16"/>
      <c r="BR255" s="9" t="s">
        <v>3265</v>
      </c>
      <c r="BS255" s="9" t="s">
        <v>3266</v>
      </c>
      <c r="BT255" s="9" t="s">
        <v>3267</v>
      </c>
      <c r="BU255" s="9" t="s">
        <v>3268</v>
      </c>
      <c r="BV255" s="9" t="s">
        <v>3269</v>
      </c>
      <c r="BW255" s="10"/>
      <c r="BX255" s="15" t="s">
        <v>3215</v>
      </c>
      <c r="BY255" s="10"/>
      <c r="BZ255" s="10"/>
      <c r="CA255" s="10"/>
      <c r="CC255" s="9" t="s">
        <v>308</v>
      </c>
      <c r="CD255" s="9" t="s">
        <v>309</v>
      </c>
    </row>
    <row r="256" spans="1:82">
      <c r="A256" s="8">
        <v>12434</v>
      </c>
      <c r="B256" s="9" t="s">
        <v>3270</v>
      </c>
      <c r="C256" s="9" t="s">
        <v>475</v>
      </c>
      <c r="D256" s="10">
        <v>45462</v>
      </c>
      <c r="E256" s="9" t="s">
        <v>3271</v>
      </c>
      <c r="F256" s="9" t="s">
        <v>3272</v>
      </c>
      <c r="G256" s="9" t="s">
        <v>2725</v>
      </c>
      <c r="H256" s="9" t="s">
        <v>281</v>
      </c>
      <c r="I256" s="9" t="s">
        <v>282</v>
      </c>
      <c r="J256" s="9" t="s">
        <v>283</v>
      </c>
      <c r="K256" s="9" t="s">
        <v>284</v>
      </c>
      <c r="L256" s="9" t="s">
        <v>3273</v>
      </c>
      <c r="M256" s="9" t="s">
        <v>3274</v>
      </c>
      <c r="N256" s="8">
        <v>1</v>
      </c>
      <c r="O256" s="9" t="s">
        <v>3275</v>
      </c>
      <c r="P256" s="11">
        <v>139</v>
      </c>
      <c r="Q256" s="11">
        <v>110</v>
      </c>
      <c r="R256" s="11">
        <v>90</v>
      </c>
      <c r="S256" s="11">
        <v>1330.36</v>
      </c>
      <c r="T256" s="11">
        <v>184920.04</v>
      </c>
      <c r="U256" s="12">
        <v>5.3999999999999999E-2</v>
      </c>
      <c r="V256" s="12">
        <v>0.84599999999999997</v>
      </c>
      <c r="W256" s="11">
        <v>1410.1</v>
      </c>
      <c r="X256" s="9" t="s">
        <v>288</v>
      </c>
      <c r="Y256" s="10">
        <v>44965</v>
      </c>
      <c r="Z256" s="13">
        <v>0.12280000000000001</v>
      </c>
      <c r="AC256" s="9" t="s">
        <v>289</v>
      </c>
      <c r="AD256" s="9" t="s">
        <v>290</v>
      </c>
      <c r="AE256" s="8">
        <v>608</v>
      </c>
      <c r="AF256" s="14">
        <v>43.224260000000001</v>
      </c>
      <c r="AG256" s="14">
        <v>2.54298</v>
      </c>
      <c r="AH256" s="9" t="s">
        <v>483</v>
      </c>
      <c r="AI256" s="15" t="s">
        <v>319</v>
      </c>
      <c r="AJ256" s="9" t="s">
        <v>293</v>
      </c>
      <c r="AK256" s="9" t="s">
        <v>3276</v>
      </c>
      <c r="AL256" s="9" t="s">
        <v>3277</v>
      </c>
      <c r="AM256" s="9"/>
      <c r="AN256" s="9" t="s">
        <v>3278</v>
      </c>
      <c r="AO256" s="9"/>
      <c r="AP256" s="9" t="s">
        <v>93</v>
      </c>
      <c r="AQ256" s="9" t="s">
        <v>298</v>
      </c>
      <c r="AR256" t="b">
        <v>0</v>
      </c>
      <c r="AS256" s="10"/>
      <c r="AT256" s="10" t="s">
        <v>299</v>
      </c>
      <c r="AU256" s="9"/>
      <c r="AV256" t="b">
        <v>0</v>
      </c>
      <c r="AW256" s="12"/>
      <c r="AX256" s="11"/>
      <c r="AY256" s="9"/>
      <c r="AZ256" t="b">
        <v>0</v>
      </c>
      <c r="BA256" s="9"/>
      <c r="BB256" s="12"/>
      <c r="BC256" s="11"/>
      <c r="BD256" s="9" t="s">
        <v>325</v>
      </c>
      <c r="BE256" s="9" t="s">
        <v>47</v>
      </c>
      <c r="BF256" s="9" t="s">
        <v>702</v>
      </c>
      <c r="BG256" s="9" t="s">
        <v>738</v>
      </c>
      <c r="BH256" s="9" t="s">
        <v>304</v>
      </c>
      <c r="BI256" s="9" t="s">
        <v>490</v>
      </c>
      <c r="BJ256" s="9" t="s">
        <v>491</v>
      </c>
      <c r="BK256" s="11">
        <v>856</v>
      </c>
      <c r="BL256" s="16">
        <v>116.113</v>
      </c>
      <c r="BM256" s="10">
        <v>45493</v>
      </c>
      <c r="BN256" s="10">
        <v>45635</v>
      </c>
      <c r="BO256" s="10"/>
      <c r="BP256" s="16"/>
      <c r="BQ256" s="16"/>
      <c r="BR256" s="9" t="s">
        <v>3279</v>
      </c>
      <c r="BS256" s="9" t="s">
        <v>3280</v>
      </c>
      <c r="BT256" s="9" t="s">
        <v>3281</v>
      </c>
      <c r="BU256" s="9" t="s">
        <v>3272</v>
      </c>
      <c r="BV256" s="9"/>
      <c r="BW256" s="10"/>
      <c r="BX256" s="15" t="s">
        <v>3215</v>
      </c>
      <c r="BY256" s="10"/>
      <c r="BZ256" s="10"/>
      <c r="CA256" s="10"/>
      <c r="CC256" s="9" t="s">
        <v>308</v>
      </c>
      <c r="CD256" s="9" t="s">
        <v>309</v>
      </c>
    </row>
    <row r="257" spans="1:82">
      <c r="A257" s="8">
        <v>32151</v>
      </c>
      <c r="B257" s="9" t="s">
        <v>3282</v>
      </c>
      <c r="C257" s="9" t="s">
        <v>970</v>
      </c>
      <c r="D257" s="10">
        <v>45461</v>
      </c>
      <c r="E257" s="9" t="s">
        <v>3283</v>
      </c>
      <c r="F257" s="9" t="s">
        <v>3284</v>
      </c>
      <c r="G257" s="9" t="s">
        <v>3285</v>
      </c>
      <c r="H257" s="9" t="s">
        <v>281</v>
      </c>
      <c r="I257" s="9" t="s">
        <v>282</v>
      </c>
      <c r="J257" s="9" t="s">
        <v>283</v>
      </c>
      <c r="K257" s="9" t="s">
        <v>284</v>
      </c>
      <c r="L257" s="9" t="s">
        <v>3286</v>
      </c>
      <c r="M257" s="9" t="s">
        <v>3287</v>
      </c>
      <c r="N257" s="8">
        <v>1</v>
      </c>
      <c r="O257" s="9" t="s">
        <v>3288</v>
      </c>
      <c r="P257" s="11">
        <v>197.8</v>
      </c>
      <c r="Q257" s="11">
        <v>140</v>
      </c>
      <c r="R257" s="11">
        <v>165</v>
      </c>
      <c r="S257" s="11">
        <v>1103.21</v>
      </c>
      <c r="T257" s="11">
        <v>218214.93799999999</v>
      </c>
      <c r="U257" s="12">
        <v>5.3999999999999999E-2</v>
      </c>
      <c r="V257" s="12">
        <v>0.86099999999999999</v>
      </c>
      <c r="W257" s="11">
        <v>1110.5999999999999</v>
      </c>
      <c r="X257" s="9" t="s">
        <v>288</v>
      </c>
      <c r="Y257" s="10">
        <v>45005</v>
      </c>
      <c r="Z257" s="13">
        <v>0.1313</v>
      </c>
      <c r="AC257" s="9" t="s">
        <v>289</v>
      </c>
      <c r="AD257" s="9" t="s">
        <v>290</v>
      </c>
      <c r="AE257" s="8">
        <v>898</v>
      </c>
      <c r="AF257" s="14">
        <v>46.234760000000001</v>
      </c>
      <c r="AG257" s="14">
        <v>4.5904600000000002</v>
      </c>
      <c r="AH257" s="9" t="s">
        <v>483</v>
      </c>
      <c r="AI257" s="15" t="s">
        <v>319</v>
      </c>
      <c r="AJ257" s="9" t="s">
        <v>293</v>
      </c>
      <c r="AK257" s="9" t="s">
        <v>3289</v>
      </c>
      <c r="AL257" s="9" t="s">
        <v>3290</v>
      </c>
      <c r="AM257" s="9"/>
      <c r="AN257" s="9" t="s">
        <v>3291</v>
      </c>
      <c r="AO257" s="9"/>
      <c r="AP257" s="9" t="s">
        <v>43</v>
      </c>
      <c r="AQ257" s="9" t="s">
        <v>847</v>
      </c>
      <c r="AR257" t="b">
        <v>0</v>
      </c>
      <c r="AS257" s="10"/>
      <c r="AT257" s="10" t="s">
        <v>299</v>
      </c>
      <c r="AU257" s="9"/>
      <c r="AV257" t="b">
        <v>0</v>
      </c>
      <c r="AW257" s="12"/>
      <c r="AX257" s="11"/>
      <c r="AY257" s="9"/>
      <c r="AZ257" t="b">
        <v>0</v>
      </c>
      <c r="BA257" s="9"/>
      <c r="BB257" s="12"/>
      <c r="BC257" s="11"/>
      <c r="BD257" s="9" t="s">
        <v>300</v>
      </c>
      <c r="BE257" s="9" t="s">
        <v>301</v>
      </c>
      <c r="BF257" s="9" t="s">
        <v>1111</v>
      </c>
      <c r="BG257" s="9" t="s">
        <v>980</v>
      </c>
      <c r="BH257" s="9" t="s">
        <v>304</v>
      </c>
      <c r="BI257" s="9" t="s">
        <v>981</v>
      </c>
      <c r="BJ257" s="9" t="s">
        <v>982</v>
      </c>
      <c r="BK257" s="11">
        <v>856</v>
      </c>
      <c r="BL257" s="16">
        <v>137.6926</v>
      </c>
      <c r="BM257" s="10">
        <v>45507</v>
      </c>
      <c r="BN257" s="10">
        <v>45737</v>
      </c>
      <c r="BO257" s="10"/>
      <c r="BP257" s="16"/>
      <c r="BQ257" s="16"/>
      <c r="BR257" s="9" t="s">
        <v>3292</v>
      </c>
      <c r="BS257" s="9" t="s">
        <v>3293</v>
      </c>
      <c r="BT257" s="9" t="s">
        <v>3285</v>
      </c>
      <c r="BU257" s="9" t="s">
        <v>3284</v>
      </c>
      <c r="BV257" s="9"/>
      <c r="BW257" s="10"/>
      <c r="BX257" s="15" t="s">
        <v>3215</v>
      </c>
      <c r="BY257" s="10"/>
      <c r="BZ257" s="10"/>
      <c r="CA257" s="10"/>
      <c r="CC257" s="9" t="s">
        <v>308</v>
      </c>
      <c r="CD257" s="9" t="s">
        <v>309</v>
      </c>
    </row>
    <row r="258" spans="1:82">
      <c r="A258" s="8">
        <v>22188</v>
      </c>
      <c r="B258" s="9" t="s">
        <v>3294</v>
      </c>
      <c r="C258" s="9" t="s">
        <v>475</v>
      </c>
      <c r="D258" s="10">
        <v>45460</v>
      </c>
      <c r="E258" s="9" t="s">
        <v>3295</v>
      </c>
      <c r="F258" s="9" t="s">
        <v>3296</v>
      </c>
      <c r="G258" s="9" t="s">
        <v>3297</v>
      </c>
      <c r="H258" s="9" t="s">
        <v>281</v>
      </c>
      <c r="I258" s="9" t="s">
        <v>282</v>
      </c>
      <c r="J258" s="9" t="s">
        <v>283</v>
      </c>
      <c r="K258" s="9" t="s">
        <v>284</v>
      </c>
      <c r="L258" s="9" t="s">
        <v>3298</v>
      </c>
      <c r="M258" s="9" t="s">
        <v>3299</v>
      </c>
      <c r="N258" s="8">
        <v>1</v>
      </c>
      <c r="O258" s="9" t="s">
        <v>3300</v>
      </c>
      <c r="P258" s="11">
        <v>288</v>
      </c>
      <c r="Q258" s="11">
        <v>239</v>
      </c>
      <c r="R258" s="11">
        <v>239</v>
      </c>
      <c r="S258" s="11">
        <v>1115.5899999999999</v>
      </c>
      <c r="T258" s="11">
        <v>321289.92</v>
      </c>
      <c r="U258" s="12">
        <v>5.3999999999999999E-2</v>
      </c>
      <c r="V258" s="12">
        <v>0.86</v>
      </c>
      <c r="W258" s="11">
        <v>1129.4000000000001</v>
      </c>
      <c r="X258" s="9" t="s">
        <v>288</v>
      </c>
      <c r="Y258" s="10">
        <v>44532</v>
      </c>
      <c r="Z258" s="13">
        <v>0.12280000000000001</v>
      </c>
      <c r="AC258" s="9" t="s">
        <v>289</v>
      </c>
      <c r="AD258" s="9" t="s">
        <v>290</v>
      </c>
      <c r="AE258" s="8">
        <v>1371</v>
      </c>
      <c r="AF258" s="14">
        <v>47.642049999999998</v>
      </c>
      <c r="AG258" s="14">
        <v>0.28437000000000001</v>
      </c>
      <c r="AH258" s="9" t="s">
        <v>483</v>
      </c>
      <c r="AI258" s="15" t="s">
        <v>319</v>
      </c>
      <c r="AJ258" s="9" t="s">
        <v>293</v>
      </c>
      <c r="AK258" s="9" t="s">
        <v>3301</v>
      </c>
      <c r="AL258" s="9" t="s">
        <v>3302</v>
      </c>
      <c r="AM258" s="9"/>
      <c r="AN258" s="9" t="s">
        <v>3303</v>
      </c>
      <c r="AO258" s="9"/>
      <c r="AP258" s="9" t="s">
        <v>597</v>
      </c>
      <c r="AQ258" s="9" t="s">
        <v>298</v>
      </c>
      <c r="AR258" t="b">
        <v>0</v>
      </c>
      <c r="AS258" s="10"/>
      <c r="AT258" s="10" t="s">
        <v>299</v>
      </c>
      <c r="AU258" s="9"/>
      <c r="AV258" t="b">
        <v>0</v>
      </c>
      <c r="AW258" s="12"/>
      <c r="AX258" s="11"/>
      <c r="AY258" s="9" t="s">
        <v>471</v>
      </c>
      <c r="AZ258" t="b">
        <v>0</v>
      </c>
      <c r="BA258" s="9" t="s">
        <v>472</v>
      </c>
      <c r="BB258" s="12"/>
      <c r="BC258" s="11"/>
      <c r="BD258" s="9" t="s">
        <v>300</v>
      </c>
      <c r="BE258" s="9" t="s">
        <v>47</v>
      </c>
      <c r="BF258" s="9" t="s">
        <v>302</v>
      </c>
      <c r="BG258" s="9" t="s">
        <v>529</v>
      </c>
      <c r="BH258" s="9" t="s">
        <v>304</v>
      </c>
      <c r="BI258" s="9" t="s">
        <v>490</v>
      </c>
      <c r="BJ258" s="9" t="s">
        <v>491</v>
      </c>
      <c r="BK258" s="11">
        <v>856</v>
      </c>
      <c r="BL258" s="16">
        <v>170.79599999999999</v>
      </c>
      <c r="BM258" s="10">
        <v>45506</v>
      </c>
      <c r="BN258" s="10">
        <v>45639</v>
      </c>
      <c r="BO258" s="10"/>
      <c r="BP258" s="16"/>
      <c r="BQ258" s="16"/>
      <c r="BR258" s="9" t="s">
        <v>3304</v>
      </c>
      <c r="BS258" s="9" t="s">
        <v>3295</v>
      </c>
      <c r="BT258" s="9" t="s">
        <v>3305</v>
      </c>
      <c r="BU258" s="9" t="s">
        <v>3296</v>
      </c>
      <c r="BV258" s="9"/>
      <c r="BW258" s="10"/>
      <c r="BX258" s="15" t="s">
        <v>3215</v>
      </c>
      <c r="BY258" s="10"/>
      <c r="BZ258" s="10"/>
      <c r="CA258" s="10"/>
      <c r="CC258" s="9" t="s">
        <v>308</v>
      </c>
      <c r="CD258" s="9" t="s">
        <v>309</v>
      </c>
    </row>
    <row r="259" spans="1:82" ht="29.1">
      <c r="A259" s="8">
        <v>87677</v>
      </c>
      <c r="B259" s="9" t="s">
        <v>3306</v>
      </c>
      <c r="C259" s="9" t="s">
        <v>475</v>
      </c>
      <c r="D259" s="10">
        <v>45448</v>
      </c>
      <c r="E259" s="9" t="s">
        <v>3307</v>
      </c>
      <c r="F259" s="9" t="s">
        <v>3308</v>
      </c>
      <c r="G259" s="9" t="s">
        <v>3309</v>
      </c>
      <c r="H259" s="9" t="s">
        <v>315</v>
      </c>
      <c r="I259" s="9" t="s">
        <v>282</v>
      </c>
      <c r="J259" s="9" t="s">
        <v>547</v>
      </c>
      <c r="K259" s="9" t="s">
        <v>284</v>
      </c>
      <c r="L259" s="9" t="s">
        <v>3310</v>
      </c>
      <c r="M259" s="9" t="s">
        <v>3311</v>
      </c>
      <c r="N259" s="8">
        <v>1</v>
      </c>
      <c r="O259" s="9" t="s">
        <v>3312</v>
      </c>
      <c r="P259" s="11">
        <v>278</v>
      </c>
      <c r="Q259" s="11">
        <v>220</v>
      </c>
      <c r="R259" s="11">
        <v>220</v>
      </c>
      <c r="S259" s="11">
        <v>1297.45</v>
      </c>
      <c r="T259" s="11">
        <v>360691.1</v>
      </c>
      <c r="U259" s="12">
        <v>5.3999999999999999E-2</v>
      </c>
      <c r="V259" s="12">
        <v>0.84499999999999997</v>
      </c>
      <c r="W259" s="11">
        <v>1320.1</v>
      </c>
      <c r="X259" s="9" t="s">
        <v>288</v>
      </c>
      <c r="Y259" s="10">
        <v>44711</v>
      </c>
      <c r="Z259" s="13">
        <v>0.12870000000000001</v>
      </c>
      <c r="AC259" s="9" t="s">
        <v>289</v>
      </c>
      <c r="AD259" s="9" t="s">
        <v>290</v>
      </c>
      <c r="AE259" s="8">
        <v>1326</v>
      </c>
      <c r="AF259" s="14">
        <v>43.670250000000003</v>
      </c>
      <c r="AG259" s="14">
        <v>4.4200200000000001</v>
      </c>
      <c r="AH259" s="9" t="s">
        <v>483</v>
      </c>
      <c r="AI259" s="15" t="s">
        <v>3313</v>
      </c>
      <c r="AJ259" s="9" t="s">
        <v>293</v>
      </c>
      <c r="AK259" s="9" t="s">
        <v>3314</v>
      </c>
      <c r="AL259" s="9" t="s">
        <v>3315</v>
      </c>
      <c r="AM259" s="9"/>
      <c r="AN259" s="9" t="s">
        <v>3316</v>
      </c>
      <c r="AO259" s="9" t="s">
        <v>3317</v>
      </c>
      <c r="AP259" s="9" t="s">
        <v>108</v>
      </c>
      <c r="AQ259" s="9" t="s">
        <v>1053</v>
      </c>
      <c r="AR259" t="b">
        <v>0</v>
      </c>
      <c r="AS259" s="10"/>
      <c r="AT259" s="10" t="s">
        <v>299</v>
      </c>
      <c r="AU259" s="9" t="s">
        <v>612</v>
      </c>
      <c r="AV259" t="b">
        <v>1</v>
      </c>
      <c r="AW259" s="12"/>
      <c r="AX259" s="11">
        <v>165000</v>
      </c>
      <c r="AY259" s="9"/>
      <c r="AZ259" t="b">
        <v>0</v>
      </c>
      <c r="BA259" s="9"/>
      <c r="BB259" s="12"/>
      <c r="BC259" s="11"/>
      <c r="BD259" s="9" t="s">
        <v>300</v>
      </c>
      <c r="BE259" s="9" t="s">
        <v>47</v>
      </c>
      <c r="BF259" s="9" t="s">
        <v>690</v>
      </c>
      <c r="BG259" s="9" t="s">
        <v>738</v>
      </c>
      <c r="BH259" s="9" t="s">
        <v>304</v>
      </c>
      <c r="BI259" s="9" t="s">
        <v>490</v>
      </c>
      <c r="BJ259" s="9" t="s">
        <v>491</v>
      </c>
      <c r="BK259" s="11">
        <v>856</v>
      </c>
      <c r="BL259" s="16">
        <v>167.126</v>
      </c>
      <c r="BM259" s="10">
        <v>45509</v>
      </c>
      <c r="BN259" s="10">
        <v>45638</v>
      </c>
      <c r="BO259" s="10"/>
      <c r="BP259" s="16"/>
      <c r="BQ259" s="16"/>
      <c r="BR259" s="9" t="s">
        <v>3318</v>
      </c>
      <c r="BS259" s="9" t="s">
        <v>3319</v>
      </c>
      <c r="BT259" s="9" t="s">
        <v>3320</v>
      </c>
      <c r="BU259" s="9" t="s">
        <v>3308</v>
      </c>
      <c r="BV259" s="9" t="s">
        <v>3321</v>
      </c>
      <c r="BW259" s="10"/>
      <c r="BX259" s="15" t="s">
        <v>3322</v>
      </c>
      <c r="BY259" s="10"/>
      <c r="BZ259" s="10"/>
      <c r="CA259" s="10"/>
      <c r="CC259" s="9" t="s">
        <v>308</v>
      </c>
      <c r="CD259" s="9" t="s">
        <v>309</v>
      </c>
    </row>
    <row r="260" spans="1:82">
      <c r="A260" s="8">
        <v>21082</v>
      </c>
      <c r="B260" s="9" t="s">
        <v>3323</v>
      </c>
      <c r="C260" s="9" t="s">
        <v>932</v>
      </c>
      <c r="D260" s="10">
        <v>45446</v>
      </c>
      <c r="E260" s="9" t="s">
        <v>3324</v>
      </c>
      <c r="F260" s="9" t="s">
        <v>3325</v>
      </c>
      <c r="G260" s="9" t="s">
        <v>3326</v>
      </c>
      <c r="H260" s="9" t="s">
        <v>281</v>
      </c>
      <c r="I260" s="9" t="s">
        <v>282</v>
      </c>
      <c r="J260" s="9" t="s">
        <v>283</v>
      </c>
      <c r="K260" s="9" t="s">
        <v>284</v>
      </c>
      <c r="L260" s="9" t="s">
        <v>3327</v>
      </c>
      <c r="M260" s="9" t="s">
        <v>3328</v>
      </c>
      <c r="N260" s="8">
        <v>1</v>
      </c>
      <c r="O260" s="9" t="s">
        <v>3329</v>
      </c>
      <c r="P260" s="11">
        <v>210</v>
      </c>
      <c r="Q260" s="11">
        <v>220</v>
      </c>
      <c r="R260" s="11">
        <v>166</v>
      </c>
      <c r="S260" s="11">
        <v>1301.0999999999999</v>
      </c>
      <c r="T260" s="11">
        <v>273231</v>
      </c>
      <c r="U260" s="12">
        <v>5.3999999999999999E-2</v>
      </c>
      <c r="V260" s="12">
        <v>0.85599999999999998</v>
      </c>
      <c r="W260" s="11">
        <v>1289.4000000000001</v>
      </c>
      <c r="X260" s="9" t="s">
        <v>288</v>
      </c>
      <c r="Y260" s="10">
        <v>44672</v>
      </c>
      <c r="Z260" s="13">
        <v>0.13120000000000001</v>
      </c>
      <c r="AC260" s="9" t="s">
        <v>289</v>
      </c>
      <c r="AD260" s="9" t="s">
        <v>290</v>
      </c>
      <c r="AE260" s="8">
        <v>988</v>
      </c>
      <c r="AF260" s="14">
        <v>45.65748</v>
      </c>
      <c r="AG260" s="14">
        <v>5.9199299999999999</v>
      </c>
      <c r="AH260" s="9" t="s">
        <v>483</v>
      </c>
      <c r="AI260" s="15" t="s">
        <v>396</v>
      </c>
      <c r="AJ260" s="9" t="s">
        <v>293</v>
      </c>
      <c r="AK260" s="9" t="s">
        <v>3330</v>
      </c>
      <c r="AL260" s="9" t="s">
        <v>3331</v>
      </c>
      <c r="AM260" s="9"/>
      <c r="AN260" s="9" t="s">
        <v>3332</v>
      </c>
      <c r="AO260" s="9"/>
      <c r="AP260" s="9" t="s">
        <v>43</v>
      </c>
      <c r="AQ260" s="9" t="s">
        <v>847</v>
      </c>
      <c r="AR260" t="b">
        <v>0</v>
      </c>
      <c r="AS260" s="10"/>
      <c r="AT260" s="10" t="s">
        <v>299</v>
      </c>
      <c r="AU260" s="9"/>
      <c r="AV260" t="b">
        <v>0</v>
      </c>
      <c r="AW260" s="12"/>
      <c r="AX260" s="11"/>
      <c r="AY260" s="9"/>
      <c r="AZ260" t="b">
        <v>0</v>
      </c>
      <c r="BA260" s="9"/>
      <c r="BB260" s="12"/>
      <c r="BC260" s="11"/>
      <c r="BD260" s="9" t="s">
        <v>300</v>
      </c>
      <c r="BE260" s="9" t="s">
        <v>301</v>
      </c>
      <c r="BF260" s="9" t="s">
        <v>1111</v>
      </c>
      <c r="BG260" s="9" t="s">
        <v>303</v>
      </c>
      <c r="BH260" s="9" t="s">
        <v>304</v>
      </c>
      <c r="BI260" s="9" t="s">
        <v>943</v>
      </c>
      <c r="BJ260" s="9" t="s">
        <v>944</v>
      </c>
      <c r="BK260" s="11">
        <v>856</v>
      </c>
      <c r="BL260" s="16">
        <v>142.16999999999999</v>
      </c>
      <c r="BM260" s="10">
        <v>45537</v>
      </c>
      <c r="BN260" s="10">
        <v>45748</v>
      </c>
      <c r="BO260" s="10"/>
      <c r="BP260" s="16"/>
      <c r="BQ260" s="16"/>
      <c r="BR260" s="9" t="s">
        <v>3333</v>
      </c>
      <c r="BS260" s="9" t="s">
        <v>3334</v>
      </c>
      <c r="BT260" s="9" t="s">
        <v>3326</v>
      </c>
      <c r="BU260" s="9" t="s">
        <v>3325</v>
      </c>
      <c r="BV260" s="9" t="s">
        <v>3335</v>
      </c>
      <c r="BW260" s="10"/>
      <c r="BX260" s="15" t="s">
        <v>1269</v>
      </c>
      <c r="BY260" s="10"/>
      <c r="BZ260" s="10"/>
      <c r="CA260" s="10"/>
      <c r="CC260" s="9" t="s">
        <v>308</v>
      </c>
      <c r="CD260" s="9" t="s">
        <v>309</v>
      </c>
    </row>
    <row r="261" spans="1:82">
      <c r="A261" s="8">
        <v>36204</v>
      </c>
      <c r="B261" s="9" t="s">
        <v>3336</v>
      </c>
      <c r="C261" s="9" t="s">
        <v>475</v>
      </c>
      <c r="D261" s="10">
        <v>45434</v>
      </c>
      <c r="E261" s="9" t="s">
        <v>3337</v>
      </c>
      <c r="F261" s="9" t="s">
        <v>3338</v>
      </c>
      <c r="G261" s="9" t="s">
        <v>3339</v>
      </c>
      <c r="H261" s="9" t="s">
        <v>315</v>
      </c>
      <c r="I261" s="9" t="s">
        <v>282</v>
      </c>
      <c r="J261" s="9" t="s">
        <v>603</v>
      </c>
      <c r="K261" s="9" t="s">
        <v>1696</v>
      </c>
      <c r="L261" s="9" t="s">
        <v>3340</v>
      </c>
      <c r="M261" s="9" t="s">
        <v>3340</v>
      </c>
      <c r="N261" s="8">
        <v>1</v>
      </c>
      <c r="O261" s="9" t="s">
        <v>3341</v>
      </c>
      <c r="P261" s="11">
        <v>78.72</v>
      </c>
      <c r="Q261" s="11">
        <v>55</v>
      </c>
      <c r="R261" s="11">
        <v>50</v>
      </c>
      <c r="S261" s="11">
        <v>1235.77</v>
      </c>
      <c r="T261" s="11">
        <v>97279.814400000003</v>
      </c>
      <c r="U261" s="12">
        <v>5.3999999999999999E-2</v>
      </c>
      <c r="V261" s="12">
        <v>0.84599999999999997</v>
      </c>
      <c r="W261" s="11">
        <v>1276.5999999999999</v>
      </c>
      <c r="X261" s="9" t="s">
        <v>288</v>
      </c>
      <c r="Y261" s="10">
        <v>44475</v>
      </c>
      <c r="Z261" s="13">
        <v>0.12189999999999999</v>
      </c>
      <c r="AC261" s="9" t="s">
        <v>3342</v>
      </c>
      <c r="AD261" s="9" t="s">
        <v>3342</v>
      </c>
      <c r="AE261" s="8">
        <v>374.92761999999999</v>
      </c>
      <c r="AF261" s="14">
        <v>42.53049</v>
      </c>
      <c r="AG261" s="14">
        <v>9.4438700000000004</v>
      </c>
      <c r="AH261" s="9" t="s">
        <v>483</v>
      </c>
      <c r="AI261" s="15" t="s">
        <v>319</v>
      </c>
      <c r="AJ261" s="9" t="s">
        <v>3343</v>
      </c>
      <c r="AK261" s="9" t="s">
        <v>3344</v>
      </c>
      <c r="AL261" s="9" t="s">
        <v>3345</v>
      </c>
      <c r="AM261" s="9"/>
      <c r="AN261" s="9" t="s">
        <v>3346</v>
      </c>
      <c r="AO261" s="9"/>
      <c r="AP261" s="9" t="s">
        <v>3347</v>
      </c>
      <c r="AQ261" s="9" t="s">
        <v>1053</v>
      </c>
      <c r="AR261" t="b">
        <v>0</v>
      </c>
      <c r="AS261" s="10"/>
      <c r="AT261" s="10" t="s">
        <v>299</v>
      </c>
      <c r="AU261" s="9" t="s">
        <v>612</v>
      </c>
      <c r="AV261" t="b">
        <v>0</v>
      </c>
      <c r="AW261" s="12"/>
      <c r="AX261" s="11"/>
      <c r="AY261" s="9"/>
      <c r="AZ261" t="b">
        <v>0</v>
      </c>
      <c r="BA261" s="9"/>
      <c r="BB261" s="12"/>
      <c r="BC261" s="11"/>
      <c r="BD261" s="9" t="s">
        <v>300</v>
      </c>
      <c r="BE261" s="9" t="s">
        <v>47</v>
      </c>
      <c r="BF261" s="9" t="s">
        <v>690</v>
      </c>
      <c r="BG261" s="9" t="s">
        <v>980</v>
      </c>
      <c r="BH261" s="9" t="s">
        <v>3348</v>
      </c>
      <c r="BI261" s="9" t="s">
        <v>490</v>
      </c>
      <c r="BJ261" s="9" t="s">
        <v>491</v>
      </c>
      <c r="BK261" s="11">
        <v>856</v>
      </c>
      <c r="BL261" s="16">
        <v>93.99024</v>
      </c>
      <c r="BM261" s="10">
        <v>45496</v>
      </c>
      <c r="BN261" s="10">
        <v>45640</v>
      </c>
      <c r="BO261" s="10"/>
      <c r="BP261" s="16"/>
      <c r="BQ261" s="16"/>
      <c r="BR261" s="9" t="s">
        <v>3349</v>
      </c>
      <c r="BS261" s="9" t="s">
        <v>3350</v>
      </c>
      <c r="BT261" s="9" t="s">
        <v>3351</v>
      </c>
      <c r="BU261" s="9" t="s">
        <v>3352</v>
      </c>
      <c r="BV261" s="9" t="s">
        <v>3353</v>
      </c>
      <c r="BW261" s="10"/>
      <c r="BX261" s="15" t="s">
        <v>1155</v>
      </c>
      <c r="BY261" s="10">
        <v>45434</v>
      </c>
      <c r="BZ261" s="10">
        <v>52069</v>
      </c>
      <c r="CA261" s="10">
        <v>45531</v>
      </c>
      <c r="CC261" s="9" t="s">
        <v>308</v>
      </c>
      <c r="CD261" s="9" t="s">
        <v>309</v>
      </c>
    </row>
    <row r="262" spans="1:82">
      <c r="A262" s="8">
        <v>94422</v>
      </c>
      <c r="B262" s="9" t="s">
        <v>3354</v>
      </c>
      <c r="C262" s="9" t="s">
        <v>1204</v>
      </c>
      <c r="D262" s="10">
        <v>45425</v>
      </c>
      <c r="E262" s="9" t="s">
        <v>3355</v>
      </c>
      <c r="F262" s="9" t="s">
        <v>3356</v>
      </c>
      <c r="G262" s="9" t="s">
        <v>3357</v>
      </c>
      <c r="H262" s="9" t="s">
        <v>315</v>
      </c>
      <c r="I262" s="9" t="s">
        <v>282</v>
      </c>
      <c r="J262" s="9" t="s">
        <v>547</v>
      </c>
      <c r="K262" s="9" t="s">
        <v>284</v>
      </c>
      <c r="L262" s="9" t="s">
        <v>3358</v>
      </c>
      <c r="M262" s="9" t="s">
        <v>3359</v>
      </c>
      <c r="N262" s="8">
        <v>1</v>
      </c>
      <c r="O262" s="9" t="s">
        <v>3360</v>
      </c>
      <c r="P262" s="11">
        <v>298</v>
      </c>
      <c r="Q262" s="11">
        <v>242</v>
      </c>
      <c r="R262" s="11">
        <v>220</v>
      </c>
      <c r="S262" s="11">
        <v>1146.75</v>
      </c>
      <c r="T262" s="11">
        <v>341731.5</v>
      </c>
      <c r="U262" s="12">
        <v>5.3999999999999999E-2</v>
      </c>
      <c r="V262" s="12">
        <v>0.85599999999999998</v>
      </c>
      <c r="W262" s="11">
        <v>1074.3</v>
      </c>
      <c r="X262" s="9" t="s">
        <v>288</v>
      </c>
      <c r="Y262" s="10">
        <v>44782</v>
      </c>
      <c r="Z262" s="13">
        <v>0.13120000000000001</v>
      </c>
      <c r="AC262" s="9" t="s">
        <v>289</v>
      </c>
      <c r="AD262" s="9" t="s">
        <v>290</v>
      </c>
      <c r="AE262" s="8">
        <v>1340</v>
      </c>
      <c r="AF262" s="14">
        <v>46.480049999999999</v>
      </c>
      <c r="AG262" s="14">
        <v>4.4321200000000003</v>
      </c>
      <c r="AH262" s="9" t="s">
        <v>483</v>
      </c>
      <c r="AI262" s="15" t="s">
        <v>319</v>
      </c>
      <c r="AJ262" s="9" t="s">
        <v>293</v>
      </c>
      <c r="AK262" s="9" t="s">
        <v>3361</v>
      </c>
      <c r="AL262" s="9" t="s">
        <v>3362</v>
      </c>
      <c r="AM262" s="9"/>
      <c r="AN262" s="9" t="s">
        <v>3363</v>
      </c>
      <c r="AO262" s="9"/>
      <c r="AP262" s="9" t="s">
        <v>2186</v>
      </c>
      <c r="AQ262" s="9" t="s">
        <v>3364</v>
      </c>
      <c r="AR262" t="b">
        <v>0</v>
      </c>
      <c r="AS262" s="10"/>
      <c r="AT262" s="10" t="s">
        <v>299</v>
      </c>
      <c r="AU262" s="9" t="s">
        <v>612</v>
      </c>
      <c r="AV262" t="b">
        <v>0</v>
      </c>
      <c r="AW262" s="12"/>
      <c r="AX262" s="11">
        <v>134500</v>
      </c>
      <c r="AY262" s="9"/>
      <c r="AZ262" t="b">
        <v>0</v>
      </c>
      <c r="BA262" s="9"/>
      <c r="BB262" s="12"/>
      <c r="BC262" s="11"/>
      <c r="BD262" s="9" t="s">
        <v>300</v>
      </c>
      <c r="BE262" s="9" t="s">
        <v>86</v>
      </c>
      <c r="BF262" s="9" t="s">
        <v>1111</v>
      </c>
      <c r="BG262" s="9" t="s">
        <v>303</v>
      </c>
      <c r="BH262" s="9" t="s">
        <v>304</v>
      </c>
      <c r="BI262" s="9" t="s">
        <v>1213</v>
      </c>
      <c r="BJ262" s="9" t="s">
        <v>1214</v>
      </c>
      <c r="BK262" s="11">
        <v>856</v>
      </c>
      <c r="BL262" s="16">
        <v>174.46600000000001</v>
      </c>
      <c r="BM262" s="10">
        <v>45440</v>
      </c>
      <c r="BN262" s="10">
        <v>45747</v>
      </c>
      <c r="BO262" s="10"/>
      <c r="BP262" s="16"/>
      <c r="BQ262" s="16"/>
      <c r="BR262" s="9" t="s">
        <v>3365</v>
      </c>
      <c r="BS262" s="9" t="s">
        <v>3366</v>
      </c>
      <c r="BT262" s="9" t="s">
        <v>3357</v>
      </c>
      <c r="BU262" s="9" t="s">
        <v>3356</v>
      </c>
      <c r="BV262" s="9" t="s">
        <v>3367</v>
      </c>
      <c r="BW262" s="10"/>
      <c r="BX262" s="15" t="s">
        <v>3368</v>
      </c>
      <c r="BY262" s="10"/>
      <c r="BZ262" s="10"/>
      <c r="CA262" s="10"/>
      <c r="CC262" s="9" t="s">
        <v>308</v>
      </c>
      <c r="CD262" s="9" t="s">
        <v>309</v>
      </c>
    </row>
    <row r="263" spans="1:82">
      <c r="A263" s="8">
        <v>94423</v>
      </c>
      <c r="B263" s="9" t="s">
        <v>3354</v>
      </c>
      <c r="C263" s="9" t="s">
        <v>1204</v>
      </c>
      <c r="D263" s="10">
        <v>45425</v>
      </c>
      <c r="E263" s="9" t="s">
        <v>3369</v>
      </c>
      <c r="F263" s="9" t="s">
        <v>3356</v>
      </c>
      <c r="G263" s="9" t="s">
        <v>3357</v>
      </c>
      <c r="H263" s="9" t="s">
        <v>315</v>
      </c>
      <c r="I263" s="9" t="s">
        <v>282</v>
      </c>
      <c r="J263" s="9" t="s">
        <v>547</v>
      </c>
      <c r="K263" s="9" t="s">
        <v>284</v>
      </c>
      <c r="L263" s="9" t="s">
        <v>3370</v>
      </c>
      <c r="M263" s="9" t="s">
        <v>3371</v>
      </c>
      <c r="N263" s="8">
        <v>1</v>
      </c>
      <c r="O263" s="9" t="s">
        <v>3372</v>
      </c>
      <c r="P263" s="11">
        <v>204</v>
      </c>
      <c r="Q263" s="11">
        <v>220</v>
      </c>
      <c r="R263" s="11">
        <v>180</v>
      </c>
      <c r="S263" s="11">
        <v>1109.57</v>
      </c>
      <c r="T263" s="11">
        <v>226352.28</v>
      </c>
      <c r="U263" s="12">
        <v>5.3999999999999999E-2</v>
      </c>
      <c r="V263" s="12">
        <v>0.85899999999999999</v>
      </c>
      <c r="W263" s="11">
        <v>1079.5999999999999</v>
      </c>
      <c r="X263" s="9" t="s">
        <v>288</v>
      </c>
      <c r="Y263" s="10">
        <v>44782</v>
      </c>
      <c r="Z263" s="13">
        <v>0.13120000000000001</v>
      </c>
      <c r="AC263" s="9" t="s">
        <v>289</v>
      </c>
      <c r="AD263" s="9" t="s">
        <v>290</v>
      </c>
      <c r="AE263" s="8">
        <v>919</v>
      </c>
      <c r="AF263" s="14">
        <v>46.478270000000002</v>
      </c>
      <c r="AG263" s="14">
        <v>4.4307400000000001</v>
      </c>
      <c r="AH263" s="9" t="s">
        <v>483</v>
      </c>
      <c r="AI263" s="15" t="s">
        <v>319</v>
      </c>
      <c r="AJ263" s="9" t="s">
        <v>293</v>
      </c>
      <c r="AK263" s="9" t="s">
        <v>3361</v>
      </c>
      <c r="AL263" s="9" t="s">
        <v>3362</v>
      </c>
      <c r="AM263" s="9"/>
      <c r="AN263" s="9" t="s">
        <v>3363</v>
      </c>
      <c r="AO263" s="9"/>
      <c r="AP263" s="9" t="s">
        <v>2186</v>
      </c>
      <c r="AQ263" s="9" t="s">
        <v>3364</v>
      </c>
      <c r="AR263" t="b">
        <v>0</v>
      </c>
      <c r="AS263" s="10"/>
      <c r="AT263" s="10" t="s">
        <v>299</v>
      </c>
      <c r="AU263" s="9" t="s">
        <v>612</v>
      </c>
      <c r="AV263" t="b">
        <v>0</v>
      </c>
      <c r="AW263" s="12"/>
      <c r="AX263" s="11"/>
      <c r="AY263" s="9"/>
      <c r="AZ263" t="b">
        <v>0</v>
      </c>
      <c r="BA263" s="9"/>
      <c r="BB263" s="12"/>
      <c r="BC263" s="11"/>
      <c r="BD263" s="9" t="s">
        <v>300</v>
      </c>
      <c r="BE263" s="9" t="s">
        <v>86</v>
      </c>
      <c r="BF263" s="9" t="s">
        <v>1111</v>
      </c>
      <c r="BG263" s="9" t="s">
        <v>303</v>
      </c>
      <c r="BH263" s="9" t="s">
        <v>304</v>
      </c>
      <c r="BI263" s="9" t="s">
        <v>1213</v>
      </c>
      <c r="BJ263" s="9" t="s">
        <v>1214</v>
      </c>
      <c r="BK263" s="11">
        <v>856</v>
      </c>
      <c r="BL263" s="16">
        <v>139.96799999999999</v>
      </c>
      <c r="BM263" s="10">
        <v>45440</v>
      </c>
      <c r="BN263" s="10">
        <v>45747</v>
      </c>
      <c r="BO263" s="10"/>
      <c r="BP263" s="16"/>
      <c r="BQ263" s="16"/>
      <c r="BR263" s="9" t="s">
        <v>3365</v>
      </c>
      <c r="BS263" s="9" t="s">
        <v>3366</v>
      </c>
      <c r="BT263" s="9" t="s">
        <v>3357</v>
      </c>
      <c r="BU263" s="9" t="s">
        <v>3356</v>
      </c>
      <c r="BV263" s="9" t="s">
        <v>3367</v>
      </c>
      <c r="BW263" s="10"/>
      <c r="BX263" s="15" t="s">
        <v>3368</v>
      </c>
      <c r="BY263" s="10"/>
      <c r="BZ263" s="10"/>
      <c r="CA263" s="10"/>
      <c r="CC263" s="9" t="s">
        <v>308</v>
      </c>
      <c r="CD263" s="9" t="s">
        <v>309</v>
      </c>
    </row>
    <row r="264" spans="1:82">
      <c r="A264" s="8">
        <v>48841</v>
      </c>
      <c r="B264" s="9" t="s">
        <v>3373</v>
      </c>
      <c r="C264" s="9" t="s">
        <v>475</v>
      </c>
      <c r="D264" s="10">
        <v>45419</v>
      </c>
      <c r="E264" s="9" t="s">
        <v>3374</v>
      </c>
      <c r="F264" s="9" t="s">
        <v>630</v>
      </c>
      <c r="G264" s="9" t="s">
        <v>631</v>
      </c>
      <c r="H264" s="9" t="s">
        <v>281</v>
      </c>
      <c r="I264" s="9" t="s">
        <v>282</v>
      </c>
      <c r="J264" s="9" t="s">
        <v>283</v>
      </c>
      <c r="K264" s="9" t="s">
        <v>284</v>
      </c>
      <c r="L264" s="9" t="s">
        <v>3375</v>
      </c>
      <c r="M264" s="9" t="s">
        <v>3376</v>
      </c>
      <c r="N264" s="8">
        <v>1</v>
      </c>
      <c r="O264" s="9" t="s">
        <v>3377</v>
      </c>
      <c r="P264" s="11">
        <v>315</v>
      </c>
      <c r="Q264" s="11">
        <v>264</v>
      </c>
      <c r="R264" s="11">
        <v>250</v>
      </c>
      <c r="S264" s="11">
        <v>1034.5999999999999</v>
      </c>
      <c r="T264" s="11">
        <v>325899</v>
      </c>
      <c r="U264" s="12">
        <v>5.3999999999999999E-2</v>
      </c>
      <c r="V264" s="12">
        <v>0.86199999999999999</v>
      </c>
      <c r="W264" s="11">
        <v>1014.9</v>
      </c>
      <c r="X264" s="9" t="s">
        <v>288</v>
      </c>
      <c r="Y264" s="10">
        <v>44522</v>
      </c>
      <c r="Z264" s="13">
        <v>0.12280000000000001</v>
      </c>
      <c r="AC264" s="9" t="s">
        <v>289</v>
      </c>
      <c r="AD264" s="9" t="s">
        <v>290</v>
      </c>
      <c r="AE264" s="8">
        <v>1472</v>
      </c>
      <c r="AF264" s="14">
        <v>48.114269999999998</v>
      </c>
      <c r="AG264" s="14">
        <v>0.33312000000000003</v>
      </c>
      <c r="AH264" s="9" t="s">
        <v>483</v>
      </c>
      <c r="AI264" s="15" t="s">
        <v>3378</v>
      </c>
      <c r="AJ264" s="9" t="s">
        <v>293</v>
      </c>
      <c r="AK264" s="9" t="s">
        <v>3379</v>
      </c>
      <c r="AL264" s="9" t="s">
        <v>3380</v>
      </c>
      <c r="AM264" s="9"/>
      <c r="AN264" s="9" t="s">
        <v>3381</v>
      </c>
      <c r="AO264" s="9"/>
      <c r="AP264" s="9" t="s">
        <v>597</v>
      </c>
      <c r="AQ264" s="9" t="s">
        <v>298</v>
      </c>
      <c r="AR264" t="b">
        <v>0</v>
      </c>
      <c r="AS264" s="10"/>
      <c r="AT264" s="10" t="s">
        <v>299</v>
      </c>
      <c r="AU264" s="9"/>
      <c r="AV264" t="b">
        <v>0</v>
      </c>
      <c r="AW264" s="12"/>
      <c r="AX264" s="11"/>
      <c r="AY264" s="9"/>
      <c r="AZ264" t="b">
        <v>0</v>
      </c>
      <c r="BA264" s="9"/>
      <c r="BB264" s="12"/>
      <c r="BC264" s="11"/>
      <c r="BD264" s="9" t="s">
        <v>300</v>
      </c>
      <c r="BE264" s="9" t="s">
        <v>47</v>
      </c>
      <c r="BF264" s="9" t="s">
        <v>302</v>
      </c>
      <c r="BG264" s="9" t="s">
        <v>529</v>
      </c>
      <c r="BH264" s="9" t="s">
        <v>304</v>
      </c>
      <c r="BI264" s="9" t="s">
        <v>490</v>
      </c>
      <c r="BJ264" s="9" t="s">
        <v>491</v>
      </c>
      <c r="BK264" s="11">
        <v>856</v>
      </c>
      <c r="BL264" s="16">
        <v>180.70500000000001</v>
      </c>
      <c r="BM264" s="10">
        <v>45481</v>
      </c>
      <c r="BN264" s="10">
        <v>45642</v>
      </c>
      <c r="BO264" s="10"/>
      <c r="BP264" s="16"/>
      <c r="BQ264" s="16"/>
      <c r="BR264" s="9" t="s">
        <v>3382</v>
      </c>
      <c r="BS264" s="9" t="s">
        <v>3383</v>
      </c>
      <c r="BT264" s="9" t="s">
        <v>3384</v>
      </c>
      <c r="BU264" s="9" t="s">
        <v>3385</v>
      </c>
      <c r="BV264" s="9" t="s">
        <v>3386</v>
      </c>
      <c r="BW264" s="10"/>
      <c r="BX264" s="15" t="s">
        <v>3387</v>
      </c>
      <c r="BY264" s="10"/>
      <c r="BZ264" s="10"/>
      <c r="CA264" s="10"/>
      <c r="CC264" s="9" t="s">
        <v>308</v>
      </c>
      <c r="CD264" s="9" t="s">
        <v>309</v>
      </c>
    </row>
    <row r="265" spans="1:82">
      <c r="A265" s="8">
        <v>33783</v>
      </c>
      <c r="B265" s="9" t="s">
        <v>3388</v>
      </c>
      <c r="C265" s="9" t="s">
        <v>475</v>
      </c>
      <c r="D265" s="10">
        <v>45390</v>
      </c>
      <c r="E265" s="9" t="s">
        <v>3389</v>
      </c>
      <c r="F265" s="9" t="s">
        <v>2746</v>
      </c>
      <c r="G265" s="9" t="s">
        <v>3390</v>
      </c>
      <c r="H265" s="9" t="s">
        <v>281</v>
      </c>
      <c r="I265" s="9" t="s">
        <v>282</v>
      </c>
      <c r="J265" s="9" t="s">
        <v>283</v>
      </c>
      <c r="K265" s="9" t="s">
        <v>284</v>
      </c>
      <c r="L265" s="9" t="s">
        <v>3391</v>
      </c>
      <c r="M265" s="9" t="s">
        <v>3392</v>
      </c>
      <c r="N265" s="8">
        <v>1</v>
      </c>
      <c r="O265" s="9" t="s">
        <v>3393</v>
      </c>
      <c r="P265" s="11">
        <v>302</v>
      </c>
      <c r="Q265" s="11">
        <v>264</v>
      </c>
      <c r="R265" s="11">
        <v>249</v>
      </c>
      <c r="S265" s="11">
        <v>1205.31</v>
      </c>
      <c r="T265" s="11">
        <v>364003.62</v>
      </c>
      <c r="U265" s="12">
        <v>0.05</v>
      </c>
      <c r="V265" s="12">
        <v>0.85899999999999999</v>
      </c>
      <c r="W265" s="11">
        <v>1191.5</v>
      </c>
      <c r="X265" s="9" t="s">
        <v>288</v>
      </c>
      <c r="Y265" s="10">
        <v>44530</v>
      </c>
      <c r="Z265" s="13">
        <v>0.12870000000000001</v>
      </c>
      <c r="AC265" s="9" t="s">
        <v>289</v>
      </c>
      <c r="AD265" s="9" t="s">
        <v>290</v>
      </c>
      <c r="AE265" s="8">
        <v>1410</v>
      </c>
      <c r="AF265" s="14">
        <v>43.039169999999999</v>
      </c>
      <c r="AG265" s="14">
        <v>1.8577300000000001</v>
      </c>
      <c r="AH265" s="9" t="s">
        <v>483</v>
      </c>
      <c r="AI265" s="15" t="s">
        <v>319</v>
      </c>
      <c r="AJ265" s="9" t="s">
        <v>293</v>
      </c>
      <c r="AK265" s="9" t="s">
        <v>3394</v>
      </c>
      <c r="AL265" s="9" t="s">
        <v>3395</v>
      </c>
      <c r="AM265" s="9"/>
      <c r="AN265" s="9" t="s">
        <v>3025</v>
      </c>
      <c r="AO265" s="9"/>
      <c r="AP265" s="9" t="s">
        <v>93</v>
      </c>
      <c r="AQ265" s="9" t="s">
        <v>293</v>
      </c>
      <c r="AR265" t="b">
        <v>0</v>
      </c>
      <c r="AS265" s="10"/>
      <c r="AT265" s="10" t="s">
        <v>299</v>
      </c>
      <c r="AU265" s="9"/>
      <c r="AV265" t="b">
        <v>0</v>
      </c>
      <c r="AW265" s="12"/>
      <c r="AX265" s="11"/>
      <c r="AY265" s="9"/>
      <c r="AZ265" t="b">
        <v>0</v>
      </c>
      <c r="BA265" s="9"/>
      <c r="BB265" s="12"/>
      <c r="BC265" s="11"/>
      <c r="BD265" s="9" t="s">
        <v>325</v>
      </c>
      <c r="BE265" s="9" t="s">
        <v>47</v>
      </c>
      <c r="BF265" s="9" t="s">
        <v>702</v>
      </c>
      <c r="BG265" s="9" t="s">
        <v>738</v>
      </c>
      <c r="BH265" s="9" t="s">
        <v>304</v>
      </c>
      <c r="BI265" s="9" t="s">
        <v>490</v>
      </c>
      <c r="BJ265" s="9" t="s">
        <v>491</v>
      </c>
      <c r="BK265" s="11">
        <v>856</v>
      </c>
      <c r="BL265" s="16">
        <v>175.934</v>
      </c>
      <c r="BM265" s="10">
        <v>45421</v>
      </c>
      <c r="BN265" s="10">
        <v>45475</v>
      </c>
      <c r="BO265" s="10"/>
      <c r="BP265" s="16"/>
      <c r="BQ265" s="16"/>
      <c r="BR265" s="9" t="s">
        <v>3396</v>
      </c>
      <c r="BS265" s="9" t="s">
        <v>3397</v>
      </c>
      <c r="BT265" s="9" t="s">
        <v>3398</v>
      </c>
      <c r="BU265" s="9" t="s">
        <v>2746</v>
      </c>
      <c r="BV265" s="9"/>
      <c r="BW265" s="10"/>
      <c r="BX265" s="15" t="s">
        <v>626</v>
      </c>
      <c r="BY265" s="10"/>
      <c r="BZ265" s="10"/>
      <c r="CA265" s="10"/>
      <c r="CC265" s="9" t="s">
        <v>308</v>
      </c>
      <c r="CD265" s="9" t="s">
        <v>309</v>
      </c>
    </row>
    <row r="266" spans="1:82">
      <c r="A266" s="8">
        <v>35895</v>
      </c>
      <c r="B266" s="9" t="s">
        <v>3399</v>
      </c>
      <c r="C266" s="9" t="s">
        <v>475</v>
      </c>
      <c r="D266" s="10">
        <v>45390</v>
      </c>
      <c r="E266" s="9" t="s">
        <v>3400</v>
      </c>
      <c r="F266" s="9" t="s">
        <v>3401</v>
      </c>
      <c r="G266" s="9" t="s">
        <v>3402</v>
      </c>
      <c r="H266" s="9" t="s">
        <v>281</v>
      </c>
      <c r="I266" s="9" t="s">
        <v>282</v>
      </c>
      <c r="J266" s="9" t="s">
        <v>283</v>
      </c>
      <c r="K266" s="9" t="s">
        <v>284</v>
      </c>
      <c r="L266" s="9" t="s">
        <v>3403</v>
      </c>
      <c r="M266" s="9" t="s">
        <v>3404</v>
      </c>
      <c r="N266" s="8">
        <v>1</v>
      </c>
      <c r="O266" s="9" t="s">
        <v>3405</v>
      </c>
      <c r="P266" s="11">
        <v>348</v>
      </c>
      <c r="Q266" s="11">
        <v>264</v>
      </c>
      <c r="R266" s="11">
        <v>264</v>
      </c>
      <c r="S266" s="11">
        <v>1164.2</v>
      </c>
      <c r="T266" s="11">
        <v>405141.6</v>
      </c>
      <c r="U266" s="12">
        <v>5.3999999999999999E-2</v>
      </c>
      <c r="V266" s="12">
        <v>0.85299999999999998</v>
      </c>
      <c r="W266" s="11">
        <v>1176.4000000000001</v>
      </c>
      <c r="X266" s="9" t="s">
        <v>288</v>
      </c>
      <c r="Y266" s="10">
        <v>44887</v>
      </c>
      <c r="Z266" s="13">
        <v>0.12280000000000001</v>
      </c>
      <c r="AC266" s="9" t="s">
        <v>289</v>
      </c>
      <c r="AD266" s="9" t="s">
        <v>290</v>
      </c>
      <c r="AE266" s="8">
        <v>1626</v>
      </c>
      <c r="AF266" s="14">
        <v>43.219920000000002</v>
      </c>
      <c r="AG266" s="14">
        <v>1.25604</v>
      </c>
      <c r="AH266" s="9" t="s">
        <v>483</v>
      </c>
      <c r="AI266" s="15" t="s">
        <v>319</v>
      </c>
      <c r="AJ266" s="9" t="s">
        <v>293</v>
      </c>
      <c r="AK266" s="9" t="s">
        <v>3406</v>
      </c>
      <c r="AL266" s="9" t="s">
        <v>3407</v>
      </c>
      <c r="AM266" s="9"/>
      <c r="AN266" s="9" t="s">
        <v>3408</v>
      </c>
      <c r="AO266" s="9"/>
      <c r="AP266" s="9" t="s">
        <v>3133</v>
      </c>
      <c r="AQ266" s="9" t="s">
        <v>298</v>
      </c>
      <c r="AR266" t="b">
        <v>0</v>
      </c>
      <c r="AS266" s="10"/>
      <c r="AT266" s="10" t="s">
        <v>299</v>
      </c>
      <c r="AU266" s="9"/>
      <c r="AV266" t="b">
        <v>0</v>
      </c>
      <c r="AW266" s="12"/>
      <c r="AX266" s="11"/>
      <c r="AY266" s="9"/>
      <c r="AZ266" t="b">
        <v>0</v>
      </c>
      <c r="BA266" s="9"/>
      <c r="BB266" s="12"/>
      <c r="BC266" s="11"/>
      <c r="BD266" s="9" t="s">
        <v>325</v>
      </c>
      <c r="BE266" s="9" t="s">
        <v>47</v>
      </c>
      <c r="BF266" s="9" t="s">
        <v>702</v>
      </c>
      <c r="BG266" s="9" t="s">
        <v>738</v>
      </c>
      <c r="BH266" s="9" t="s">
        <v>304</v>
      </c>
      <c r="BI266" s="9" t="s">
        <v>490</v>
      </c>
      <c r="BJ266" s="9" t="s">
        <v>491</v>
      </c>
      <c r="BK266" s="11">
        <v>856</v>
      </c>
      <c r="BL266" s="16">
        <v>192.816</v>
      </c>
      <c r="BM266" s="10">
        <v>45496</v>
      </c>
      <c r="BN266" s="10">
        <v>45636</v>
      </c>
      <c r="BO266" s="10"/>
      <c r="BP266" s="16"/>
      <c r="BQ266" s="16"/>
      <c r="BR266" s="9" t="s">
        <v>3409</v>
      </c>
      <c r="BS266" s="9" t="s">
        <v>3410</v>
      </c>
      <c r="BT266" s="9" t="s">
        <v>3402</v>
      </c>
      <c r="BU266" s="9" t="s">
        <v>3401</v>
      </c>
      <c r="BV266" s="9"/>
      <c r="BW266" s="10"/>
      <c r="BX266" s="15" t="s">
        <v>3411</v>
      </c>
      <c r="BY266" s="10">
        <v>45390</v>
      </c>
      <c r="BZ266" s="10">
        <v>52575</v>
      </c>
      <c r="CA266" s="10">
        <v>45888</v>
      </c>
      <c r="CC266" s="9" t="s">
        <v>308</v>
      </c>
      <c r="CD266" s="9" t="s">
        <v>309</v>
      </c>
    </row>
    <row r="267" spans="1:82">
      <c r="A267" s="8">
        <v>21358</v>
      </c>
      <c r="B267" s="9" t="s">
        <v>3412</v>
      </c>
      <c r="C267" s="9" t="s">
        <v>475</v>
      </c>
      <c r="D267" s="10">
        <v>45386</v>
      </c>
      <c r="E267" s="9" t="s">
        <v>3413</v>
      </c>
      <c r="F267" s="9" t="s">
        <v>3414</v>
      </c>
      <c r="G267" s="9" t="s">
        <v>3415</v>
      </c>
      <c r="H267" s="9" t="s">
        <v>315</v>
      </c>
      <c r="I267" s="9" t="s">
        <v>282</v>
      </c>
      <c r="J267" s="9" t="s">
        <v>283</v>
      </c>
      <c r="K267" s="9" t="s">
        <v>284</v>
      </c>
      <c r="L267" s="9" t="s">
        <v>3416</v>
      </c>
      <c r="M267" s="9" t="s">
        <v>3417</v>
      </c>
      <c r="N267" s="8">
        <v>1</v>
      </c>
      <c r="O267" s="9" t="s">
        <v>3418</v>
      </c>
      <c r="P267" s="11">
        <v>209</v>
      </c>
      <c r="Q267" s="11">
        <v>165</v>
      </c>
      <c r="R267" s="11">
        <v>182</v>
      </c>
      <c r="S267" s="11">
        <v>1320</v>
      </c>
      <c r="T267" s="11">
        <v>275880</v>
      </c>
      <c r="U267" s="12">
        <v>0.05</v>
      </c>
      <c r="V267" s="12">
        <v>0.84299999999999997</v>
      </c>
      <c r="W267" s="11">
        <v>1353.7</v>
      </c>
      <c r="X267" s="9" t="s">
        <v>288</v>
      </c>
      <c r="Y267" s="10">
        <v>44588</v>
      </c>
      <c r="Z267" s="13">
        <v>0.12280000000000001</v>
      </c>
      <c r="AC267" s="9" t="s">
        <v>289</v>
      </c>
      <c r="AD267" s="9" t="s">
        <v>290</v>
      </c>
      <c r="AE267" s="8">
        <v>995</v>
      </c>
      <c r="AF267" s="14">
        <v>43.636330000000001</v>
      </c>
      <c r="AG267" s="14">
        <v>5.0747600000000004</v>
      </c>
      <c r="AH267" s="9" t="s">
        <v>483</v>
      </c>
      <c r="AI267" s="15" t="s">
        <v>319</v>
      </c>
      <c r="AJ267" s="9" t="s">
        <v>293</v>
      </c>
      <c r="AK267" s="9" t="s">
        <v>3419</v>
      </c>
      <c r="AL267" s="9" t="s">
        <v>3420</v>
      </c>
      <c r="AM267" s="9"/>
      <c r="AN267" s="9" t="s">
        <v>3421</v>
      </c>
      <c r="AO267" s="9"/>
      <c r="AP267" s="9" t="s">
        <v>108</v>
      </c>
      <c r="AQ267" s="9" t="s">
        <v>1053</v>
      </c>
      <c r="AR267" t="b">
        <v>1</v>
      </c>
      <c r="AS267" s="10">
        <v>45657</v>
      </c>
      <c r="AT267" s="10">
        <v>46022</v>
      </c>
      <c r="AU267" s="9" t="s">
        <v>1139</v>
      </c>
      <c r="AV267" t="b">
        <v>1</v>
      </c>
      <c r="AW267" s="12"/>
      <c r="AX267" s="11">
        <v>10000</v>
      </c>
      <c r="AY267" s="9" t="s">
        <v>471</v>
      </c>
      <c r="AZ267" t="b">
        <v>1</v>
      </c>
      <c r="BA267" s="9" t="s">
        <v>472</v>
      </c>
      <c r="BB267" s="12"/>
      <c r="BC267" s="11">
        <v>10000</v>
      </c>
      <c r="BD267" s="9" t="s">
        <v>300</v>
      </c>
      <c r="BE267" s="9" t="s">
        <v>47</v>
      </c>
      <c r="BF267" s="9" t="s">
        <v>302</v>
      </c>
      <c r="BG267" s="9" t="s">
        <v>980</v>
      </c>
      <c r="BH267" s="9" t="s">
        <v>304</v>
      </c>
      <c r="BI267" s="9" t="s">
        <v>490</v>
      </c>
      <c r="BJ267" s="9" t="s">
        <v>491</v>
      </c>
      <c r="BK267" s="11">
        <v>856</v>
      </c>
      <c r="BL267" s="16">
        <v>141.803</v>
      </c>
      <c r="BM267" s="10">
        <v>45402</v>
      </c>
      <c r="BN267" s="10">
        <v>45639</v>
      </c>
      <c r="BO267" s="10"/>
      <c r="BP267" s="16"/>
      <c r="BQ267" s="16"/>
      <c r="BR267" s="9" t="s">
        <v>3422</v>
      </c>
      <c r="BS267" s="9" t="s">
        <v>3423</v>
      </c>
      <c r="BT267" s="9" t="s">
        <v>3424</v>
      </c>
      <c r="BU267" s="9" t="s">
        <v>3425</v>
      </c>
      <c r="BV267" s="9" t="s">
        <v>3426</v>
      </c>
      <c r="BW267" s="10"/>
      <c r="BX267" s="15" t="s">
        <v>3427</v>
      </c>
      <c r="BY267" s="10"/>
      <c r="BZ267" s="10"/>
      <c r="CA267" s="10"/>
      <c r="CC267" s="9" t="s">
        <v>308</v>
      </c>
      <c r="CD267" s="9" t="s">
        <v>309</v>
      </c>
    </row>
    <row r="268" spans="1:82">
      <c r="A268" s="8">
        <v>49475</v>
      </c>
      <c r="B268" s="9" t="s">
        <v>3428</v>
      </c>
      <c r="C268" s="9" t="s">
        <v>475</v>
      </c>
      <c r="D268" s="10">
        <v>45384</v>
      </c>
      <c r="E268" s="9" t="s">
        <v>3429</v>
      </c>
      <c r="F268" s="9" t="s">
        <v>3170</v>
      </c>
      <c r="G268" s="9" t="s">
        <v>3156</v>
      </c>
      <c r="H268" s="9" t="s">
        <v>315</v>
      </c>
      <c r="I268" s="9" t="s">
        <v>282</v>
      </c>
      <c r="J268" s="9" t="s">
        <v>283</v>
      </c>
      <c r="K268" s="9" t="s">
        <v>284</v>
      </c>
      <c r="L268" s="9" t="s">
        <v>3430</v>
      </c>
      <c r="M268" s="9" t="s">
        <v>3431</v>
      </c>
      <c r="N268" s="8">
        <v>1</v>
      </c>
      <c r="O268" s="9" t="s">
        <v>3432</v>
      </c>
      <c r="P268" s="11">
        <v>194</v>
      </c>
      <c r="Q268" s="11">
        <v>137</v>
      </c>
      <c r="R268" s="11">
        <v>135</v>
      </c>
      <c r="S268" s="11">
        <v>1099.8499999999999</v>
      </c>
      <c r="T268" s="11">
        <v>213370.9</v>
      </c>
      <c r="U268" s="12">
        <v>5.2999999999999999E-2</v>
      </c>
      <c r="V268" s="12">
        <v>0.86599999999999999</v>
      </c>
      <c r="W268" s="11">
        <v>1087.5</v>
      </c>
      <c r="X268" s="9" t="s">
        <v>288</v>
      </c>
      <c r="Y268" s="10">
        <v>44530</v>
      </c>
      <c r="Z268" s="13">
        <v>0.12280000000000001</v>
      </c>
      <c r="AC268" s="9" t="s">
        <v>289</v>
      </c>
      <c r="AD268" s="9" t="s">
        <v>290</v>
      </c>
      <c r="AE268" s="8">
        <v>906</v>
      </c>
      <c r="AF268" s="14">
        <v>45.958039999999997</v>
      </c>
      <c r="AG268" s="14">
        <v>3.9491499999999999</v>
      </c>
      <c r="AH268" s="9" t="s">
        <v>483</v>
      </c>
      <c r="AI268" s="15" t="s">
        <v>396</v>
      </c>
      <c r="AJ268" s="9" t="s">
        <v>293</v>
      </c>
      <c r="AK268" s="9" t="s">
        <v>3174</v>
      </c>
      <c r="AL268" s="9" t="s">
        <v>3175</v>
      </c>
      <c r="AM268" s="9"/>
      <c r="AN268" s="9" t="s">
        <v>3176</v>
      </c>
      <c r="AO268" s="9"/>
      <c r="AP268" s="9" t="s">
        <v>323</v>
      </c>
      <c r="AQ268" s="9" t="s">
        <v>3163</v>
      </c>
      <c r="AR268" t="b">
        <v>1</v>
      </c>
      <c r="AS268" s="10">
        <v>45657</v>
      </c>
      <c r="AT268" s="10">
        <v>46022</v>
      </c>
      <c r="AU268" s="9" t="s">
        <v>1139</v>
      </c>
      <c r="AV268" t="b">
        <v>0</v>
      </c>
      <c r="AW268" s="12"/>
      <c r="AX268" s="11">
        <v>1000</v>
      </c>
      <c r="AY268" s="9" t="s">
        <v>471</v>
      </c>
      <c r="AZ268" t="b">
        <v>1</v>
      </c>
      <c r="BA268" s="9" t="s">
        <v>472</v>
      </c>
      <c r="BB268" s="12"/>
      <c r="BC268" s="11">
        <v>1000</v>
      </c>
      <c r="BD268" s="9" t="s">
        <v>300</v>
      </c>
      <c r="BE268" s="9" t="s">
        <v>47</v>
      </c>
      <c r="BF268" s="9" t="s">
        <v>1111</v>
      </c>
      <c r="BG268" s="9" t="s">
        <v>303</v>
      </c>
      <c r="BH268" s="9" t="s">
        <v>304</v>
      </c>
      <c r="BI268" s="9" t="s">
        <v>490</v>
      </c>
      <c r="BJ268" s="9" t="s">
        <v>491</v>
      </c>
      <c r="BK268" s="11">
        <v>856</v>
      </c>
      <c r="BL268" s="16">
        <v>136.298</v>
      </c>
      <c r="BM268" s="10">
        <v>45505</v>
      </c>
      <c r="BN268" s="10">
        <v>45642</v>
      </c>
      <c r="BO268" s="10"/>
      <c r="BP268" s="16"/>
      <c r="BQ268" s="16"/>
      <c r="BR268" s="9" t="s">
        <v>3433</v>
      </c>
      <c r="BS268" s="9" t="s">
        <v>3434</v>
      </c>
      <c r="BT268" s="9" t="s">
        <v>3435</v>
      </c>
      <c r="BU268" s="9" t="s">
        <v>3170</v>
      </c>
      <c r="BV268" s="9"/>
      <c r="BW268" s="10"/>
      <c r="BX268" s="15" t="s">
        <v>3436</v>
      </c>
      <c r="BY268" s="10"/>
      <c r="BZ268" s="10"/>
      <c r="CA268" s="10"/>
      <c r="CC268" s="9" t="s">
        <v>308</v>
      </c>
      <c r="CD268" s="9" t="s">
        <v>309</v>
      </c>
    </row>
    <row r="269" spans="1:82">
      <c r="A269" s="8">
        <v>32281</v>
      </c>
      <c r="B269" s="9" t="s">
        <v>3437</v>
      </c>
      <c r="C269" s="9" t="s">
        <v>475</v>
      </c>
      <c r="D269" s="10">
        <v>45371</v>
      </c>
      <c r="E269" s="9" t="s">
        <v>3438</v>
      </c>
      <c r="F269" s="9" t="s">
        <v>3439</v>
      </c>
      <c r="G269" s="9" t="s">
        <v>3440</v>
      </c>
      <c r="H269" s="9" t="s">
        <v>281</v>
      </c>
      <c r="I269" s="9" t="s">
        <v>282</v>
      </c>
      <c r="J269" s="9" t="s">
        <v>283</v>
      </c>
      <c r="K269" s="9" t="s">
        <v>284</v>
      </c>
      <c r="L269" s="9" t="s">
        <v>3441</v>
      </c>
      <c r="M269" s="9" t="s">
        <v>3441</v>
      </c>
      <c r="N269" s="8">
        <v>1</v>
      </c>
      <c r="O269" s="9" t="s">
        <v>3442</v>
      </c>
      <c r="P269" s="11">
        <v>312.91000000000003</v>
      </c>
      <c r="Q269" s="11">
        <v>264</v>
      </c>
      <c r="R269" s="11">
        <v>249.99</v>
      </c>
      <c r="S269" s="11">
        <v>1095</v>
      </c>
      <c r="T269" s="11">
        <v>342636.45</v>
      </c>
      <c r="U269" s="12">
        <v>0.05</v>
      </c>
      <c r="V269" s="12">
        <v>0.85699999999999998</v>
      </c>
      <c r="W269" s="11">
        <v>1074.5999999999999</v>
      </c>
      <c r="X269" s="9" t="s">
        <v>288</v>
      </c>
      <c r="Y269" s="10">
        <v>44525</v>
      </c>
      <c r="Z269" s="13">
        <v>0.12280000000000001</v>
      </c>
      <c r="AC269" s="9" t="s">
        <v>3443</v>
      </c>
      <c r="AD269" s="9" t="s">
        <v>3444</v>
      </c>
      <c r="AE269" s="8">
        <v>1460.40149</v>
      </c>
      <c r="AF269" s="14">
        <v>46.443620000000003</v>
      </c>
      <c r="AG269" s="14">
        <v>0.45262999999999998</v>
      </c>
      <c r="AH269" s="9" t="s">
        <v>483</v>
      </c>
      <c r="AI269" s="15" t="s">
        <v>319</v>
      </c>
      <c r="AJ269" s="9" t="s">
        <v>293</v>
      </c>
      <c r="AK269" s="9" t="s">
        <v>3445</v>
      </c>
      <c r="AL269" s="9" t="s">
        <v>3446</v>
      </c>
      <c r="AM269" s="9"/>
      <c r="AN269" s="9" t="s">
        <v>3447</v>
      </c>
      <c r="AO269" s="9"/>
      <c r="AP269" s="9" t="s">
        <v>597</v>
      </c>
      <c r="AQ269" s="9" t="s">
        <v>298</v>
      </c>
      <c r="AR269" t="b">
        <v>0</v>
      </c>
      <c r="AS269" s="10"/>
      <c r="AT269" s="10" t="s">
        <v>299</v>
      </c>
      <c r="AU269" s="9"/>
      <c r="AV269" t="b">
        <v>0</v>
      </c>
      <c r="AW269" s="12"/>
      <c r="AX269" s="11"/>
      <c r="AY269" s="9"/>
      <c r="AZ269" t="b">
        <v>0</v>
      </c>
      <c r="BA269" s="9"/>
      <c r="BB269" s="12"/>
      <c r="BC269" s="11"/>
      <c r="BD269" s="9" t="s">
        <v>300</v>
      </c>
      <c r="BE269" s="9" t="s">
        <v>47</v>
      </c>
      <c r="BF269" s="9" t="s">
        <v>302</v>
      </c>
      <c r="BG269" s="9" t="s">
        <v>529</v>
      </c>
      <c r="BH269" s="9" t="s">
        <v>304</v>
      </c>
      <c r="BI269" s="9" t="s">
        <v>490</v>
      </c>
      <c r="BJ269" s="9" t="s">
        <v>491</v>
      </c>
      <c r="BK269" s="11">
        <v>856</v>
      </c>
      <c r="BL269" s="16">
        <v>179.93797000000001</v>
      </c>
      <c r="BM269" s="10">
        <v>45492</v>
      </c>
      <c r="BN269" s="10">
        <v>45640</v>
      </c>
      <c r="BO269" s="10"/>
      <c r="BP269" s="16"/>
      <c r="BQ269" s="16"/>
      <c r="BR269" s="9"/>
      <c r="BS269" s="9"/>
      <c r="BT269" s="9"/>
      <c r="BU269" s="9"/>
      <c r="BV269" s="9"/>
      <c r="BW269" s="10"/>
      <c r="BX269" s="15" t="s">
        <v>703</v>
      </c>
      <c r="BY269" s="10">
        <v>45373</v>
      </c>
      <c r="BZ269" s="10">
        <v>52565</v>
      </c>
      <c r="CA269" s="10">
        <v>45649</v>
      </c>
      <c r="CC269" s="9" t="s">
        <v>308</v>
      </c>
      <c r="CD269" s="9" t="s">
        <v>309</v>
      </c>
    </row>
    <row r="270" spans="1:82">
      <c r="A270" s="8">
        <v>32456</v>
      </c>
      <c r="B270" s="9" t="s">
        <v>3448</v>
      </c>
      <c r="C270" s="9" t="s">
        <v>475</v>
      </c>
      <c r="D270" s="10">
        <v>45365</v>
      </c>
      <c r="E270" s="9" t="s">
        <v>3449</v>
      </c>
      <c r="F270" s="9" t="s">
        <v>3450</v>
      </c>
      <c r="G270" s="9" t="s">
        <v>3451</v>
      </c>
      <c r="H270" s="9" t="s">
        <v>315</v>
      </c>
      <c r="I270" s="9" t="s">
        <v>282</v>
      </c>
      <c r="J270" s="9" t="s">
        <v>283</v>
      </c>
      <c r="K270" s="9" t="s">
        <v>284</v>
      </c>
      <c r="L270" s="9" t="s">
        <v>3452</v>
      </c>
      <c r="M270" s="9" t="s">
        <v>3453</v>
      </c>
      <c r="N270" s="8">
        <v>1</v>
      </c>
      <c r="O270" s="9" t="s">
        <v>3454</v>
      </c>
      <c r="P270" s="11">
        <v>220.78</v>
      </c>
      <c r="Q270" s="11">
        <v>220</v>
      </c>
      <c r="R270" s="11">
        <v>180</v>
      </c>
      <c r="S270" s="11">
        <v>1216.82</v>
      </c>
      <c r="T270" s="11">
        <v>268649.5196</v>
      </c>
      <c r="U270" s="12">
        <v>5.3999999999999999E-2</v>
      </c>
      <c r="V270" s="12">
        <v>0.85799999999999998</v>
      </c>
      <c r="W270" s="11">
        <v>1228.9000000000001</v>
      </c>
      <c r="X270" s="9" t="s">
        <v>288</v>
      </c>
      <c r="Y270" s="10">
        <v>44526</v>
      </c>
      <c r="Z270" s="13">
        <v>0.12280000000000001</v>
      </c>
      <c r="AC270" s="9" t="s">
        <v>289</v>
      </c>
      <c r="AD270" s="9" t="s">
        <v>290</v>
      </c>
      <c r="AE270" s="8">
        <v>1030.4159</v>
      </c>
      <c r="AF270" s="14">
        <v>46.773780000000002</v>
      </c>
      <c r="AG270" s="14">
        <v>5.1944499999999998</v>
      </c>
      <c r="AH270" s="9" t="s">
        <v>483</v>
      </c>
      <c r="AI270" s="15" t="s">
        <v>319</v>
      </c>
      <c r="AJ270" s="9" t="s">
        <v>293</v>
      </c>
      <c r="AK270" s="9" t="s">
        <v>3455</v>
      </c>
      <c r="AL270" s="9" t="s">
        <v>3456</v>
      </c>
      <c r="AM270" s="9"/>
      <c r="AN270" s="9" t="s">
        <v>3457</v>
      </c>
      <c r="AO270" s="9"/>
      <c r="AP270" s="9" t="s">
        <v>323</v>
      </c>
      <c r="AQ270" s="9" t="s">
        <v>3364</v>
      </c>
      <c r="AR270" t="b">
        <v>1</v>
      </c>
      <c r="AS270" s="10">
        <v>45657</v>
      </c>
      <c r="AT270" s="10">
        <v>46022</v>
      </c>
      <c r="AU270" s="9" t="s">
        <v>1139</v>
      </c>
      <c r="AV270" t="b">
        <v>0</v>
      </c>
      <c r="AW270" s="12"/>
      <c r="AX270" s="11">
        <v>3250</v>
      </c>
      <c r="AY270" s="9" t="s">
        <v>471</v>
      </c>
      <c r="AZ270" t="b">
        <v>1</v>
      </c>
      <c r="BA270" s="9" t="s">
        <v>472</v>
      </c>
      <c r="BB270" s="12"/>
      <c r="BC270" s="11">
        <v>3250</v>
      </c>
      <c r="BD270" s="9" t="s">
        <v>300</v>
      </c>
      <c r="BE270" s="9" t="s">
        <v>47</v>
      </c>
      <c r="BF270" s="9" t="s">
        <v>1111</v>
      </c>
      <c r="BG270" s="9" t="s">
        <v>303</v>
      </c>
      <c r="BH270" s="9" t="s">
        <v>304</v>
      </c>
      <c r="BI270" s="9" t="s">
        <v>490</v>
      </c>
      <c r="BJ270" s="9" t="s">
        <v>491</v>
      </c>
      <c r="BK270" s="11">
        <v>856</v>
      </c>
      <c r="BL270" s="16">
        <v>146.12626</v>
      </c>
      <c r="BM270" s="10">
        <v>45381</v>
      </c>
      <c r="BN270" s="10">
        <v>45640</v>
      </c>
      <c r="BO270" s="10"/>
      <c r="BP270" s="16"/>
      <c r="BQ270" s="16"/>
      <c r="BR270" s="9" t="s">
        <v>3458</v>
      </c>
      <c r="BS270" s="9" t="s">
        <v>3459</v>
      </c>
      <c r="BT270" s="9" t="s">
        <v>3451</v>
      </c>
      <c r="BU270" s="9" t="s">
        <v>3450</v>
      </c>
      <c r="BV270" s="9"/>
      <c r="BW270" s="10"/>
      <c r="BX270" s="15" t="s">
        <v>3460</v>
      </c>
      <c r="BY270" s="10"/>
      <c r="BZ270" s="10"/>
      <c r="CA270" s="10"/>
      <c r="CC270" s="9" t="s">
        <v>308</v>
      </c>
      <c r="CD270" s="9" t="s">
        <v>309</v>
      </c>
    </row>
    <row r="271" spans="1:82">
      <c r="A271" s="8">
        <v>60373</v>
      </c>
      <c r="B271" s="9" t="s">
        <v>3461</v>
      </c>
      <c r="C271" s="9" t="s">
        <v>475</v>
      </c>
      <c r="D271" s="10">
        <v>45260</v>
      </c>
      <c r="E271" s="9" t="s">
        <v>3462</v>
      </c>
      <c r="F271" s="9" t="s">
        <v>3463</v>
      </c>
      <c r="G271" s="9" t="s">
        <v>3464</v>
      </c>
      <c r="H271" s="9" t="s">
        <v>315</v>
      </c>
      <c r="I271" s="9" t="s">
        <v>282</v>
      </c>
      <c r="J271" s="9" t="s">
        <v>283</v>
      </c>
      <c r="K271" s="9" t="s">
        <v>284</v>
      </c>
      <c r="L271" s="9" t="s">
        <v>3465</v>
      </c>
      <c r="M271" s="9" t="s">
        <v>3466</v>
      </c>
      <c r="N271" s="8">
        <v>1</v>
      </c>
      <c r="O271" s="9" t="s">
        <v>3467</v>
      </c>
      <c r="P271" s="11">
        <v>203.36</v>
      </c>
      <c r="Q271" s="11">
        <v>146</v>
      </c>
      <c r="R271" s="11">
        <v>152</v>
      </c>
      <c r="S271" s="11">
        <v>962.43115599999999</v>
      </c>
      <c r="T271" s="11">
        <v>195719.99988416</v>
      </c>
      <c r="U271" s="12">
        <v>0.05</v>
      </c>
      <c r="V271" s="12">
        <v>0.86199999999999999</v>
      </c>
      <c r="W271" s="11">
        <v>1083.9000000000001</v>
      </c>
      <c r="X271" s="9" t="s">
        <v>288</v>
      </c>
      <c r="Y271" s="10">
        <v>44568</v>
      </c>
      <c r="Z271" s="13">
        <v>0.12280000000000001</v>
      </c>
      <c r="AC271" s="9" t="s">
        <v>289</v>
      </c>
      <c r="AD271" s="9" t="s">
        <v>290</v>
      </c>
      <c r="AE271" s="8">
        <v>968.56300999999996</v>
      </c>
      <c r="AF271" s="14">
        <v>45.935250000000003</v>
      </c>
      <c r="AG271" s="14">
        <v>4.0030299999999999</v>
      </c>
      <c r="AH271" s="9" t="s">
        <v>483</v>
      </c>
      <c r="AI271" s="15" t="s">
        <v>319</v>
      </c>
      <c r="AJ271" s="9" t="s">
        <v>293</v>
      </c>
      <c r="AK271" s="9" t="s">
        <v>3468</v>
      </c>
      <c r="AL271" s="9" t="s">
        <v>3469</v>
      </c>
      <c r="AM271" s="9"/>
      <c r="AN271" s="9" t="s">
        <v>3470</v>
      </c>
      <c r="AO271" s="9"/>
      <c r="AP271" s="9" t="s">
        <v>323</v>
      </c>
      <c r="AQ271" s="9" t="s">
        <v>1053</v>
      </c>
      <c r="AR271" t="b">
        <v>1</v>
      </c>
      <c r="AS271" s="10">
        <v>45291</v>
      </c>
      <c r="AT271" s="10">
        <v>46022</v>
      </c>
      <c r="AU271" s="9" t="s">
        <v>1139</v>
      </c>
      <c r="AV271" t="b">
        <v>1</v>
      </c>
      <c r="AW271" s="12"/>
      <c r="AX271" s="11">
        <v>2500</v>
      </c>
      <c r="AY271" s="9" t="s">
        <v>471</v>
      </c>
      <c r="AZ271" t="b">
        <v>1</v>
      </c>
      <c r="BA271" s="9" t="s">
        <v>472</v>
      </c>
      <c r="BB271" s="12"/>
      <c r="BC271" s="11">
        <v>2500</v>
      </c>
      <c r="BD271" s="9" t="s">
        <v>300</v>
      </c>
      <c r="BE271" s="9" t="s">
        <v>47</v>
      </c>
      <c r="BF271" s="9" t="s">
        <v>1111</v>
      </c>
      <c r="BG271" s="9" t="s">
        <v>303</v>
      </c>
      <c r="BH271" s="9" t="s">
        <v>304</v>
      </c>
      <c r="BI271" s="9" t="s">
        <v>490</v>
      </c>
      <c r="BJ271" s="9" t="s">
        <v>491</v>
      </c>
      <c r="BK271" s="11">
        <v>856</v>
      </c>
      <c r="BL271" s="16">
        <v>139.73312000000001</v>
      </c>
      <c r="BM271" s="10">
        <v>45292</v>
      </c>
      <c r="BN271" s="10">
        <v>45640</v>
      </c>
      <c r="BO271" s="10"/>
      <c r="BP271" s="16"/>
      <c r="BQ271" s="16"/>
      <c r="BR271" s="9" t="s">
        <v>3471</v>
      </c>
      <c r="BS271" s="9" t="s">
        <v>3472</v>
      </c>
      <c r="BT271" s="9" t="s">
        <v>3473</v>
      </c>
      <c r="BU271" s="9" t="s">
        <v>3463</v>
      </c>
      <c r="BV271" s="9" t="s">
        <v>3474</v>
      </c>
      <c r="BW271" s="10"/>
      <c r="BX271" s="15" t="s">
        <v>515</v>
      </c>
      <c r="BY271" s="10"/>
      <c r="BZ271" s="10"/>
      <c r="CA271" s="10"/>
      <c r="CC271" s="9" t="s">
        <v>308</v>
      </c>
      <c r="CD271" s="9" t="s">
        <v>309</v>
      </c>
    </row>
    <row r="272" spans="1:82">
      <c r="A272" s="8">
        <v>12256</v>
      </c>
      <c r="B272" s="9" t="s">
        <v>3475</v>
      </c>
      <c r="C272" s="9" t="s">
        <v>3122</v>
      </c>
      <c r="D272" s="10">
        <v>45251</v>
      </c>
      <c r="E272" s="9" t="s">
        <v>3476</v>
      </c>
      <c r="F272" s="9" t="s">
        <v>3477</v>
      </c>
      <c r="G272" s="9" t="s">
        <v>3478</v>
      </c>
      <c r="H272" s="9" t="s">
        <v>281</v>
      </c>
      <c r="I272" s="9" t="s">
        <v>282</v>
      </c>
      <c r="J272" s="9" t="s">
        <v>283</v>
      </c>
      <c r="K272" s="9" t="s">
        <v>1696</v>
      </c>
      <c r="L272" s="9" t="s">
        <v>3479</v>
      </c>
      <c r="M272" s="9" t="s">
        <v>3480</v>
      </c>
      <c r="N272" s="8">
        <v>1</v>
      </c>
      <c r="O272" s="9" t="s">
        <v>3481</v>
      </c>
      <c r="P272" s="11">
        <v>100</v>
      </c>
      <c r="Q272" s="11">
        <v>110</v>
      </c>
      <c r="R272" s="11">
        <v>90</v>
      </c>
      <c r="S272" s="11">
        <v>1634.63</v>
      </c>
      <c r="T272" s="11">
        <v>163463</v>
      </c>
      <c r="U272" s="12">
        <v>0.05</v>
      </c>
      <c r="V272" s="12"/>
      <c r="W272" s="11"/>
      <c r="X272" s="9" t="s">
        <v>288</v>
      </c>
      <c r="Y272" s="10">
        <v>44362</v>
      </c>
      <c r="Z272" s="13">
        <v>9.5200000000000007E-2</v>
      </c>
      <c r="AC272" s="9" t="s">
        <v>289</v>
      </c>
      <c r="AD272" s="9" t="s">
        <v>290</v>
      </c>
      <c r="AE272" s="8">
        <v>492</v>
      </c>
      <c r="AF272" s="14">
        <v>43.967619999999997</v>
      </c>
      <c r="AG272" s="14">
        <v>5.7904</v>
      </c>
      <c r="AH272" s="9" t="s">
        <v>3129</v>
      </c>
      <c r="AI272" s="15" t="s">
        <v>319</v>
      </c>
      <c r="AJ272" s="9" t="s">
        <v>293</v>
      </c>
      <c r="AK272" s="9" t="s">
        <v>3482</v>
      </c>
      <c r="AL272" s="9" t="s">
        <v>3483</v>
      </c>
      <c r="AM272" s="9"/>
      <c r="AN272" s="9" t="s">
        <v>3484</v>
      </c>
      <c r="AO272" s="9"/>
      <c r="AP272" s="9" t="s">
        <v>2186</v>
      </c>
      <c r="AQ272" s="9" t="s">
        <v>3134</v>
      </c>
      <c r="AR272" t="b">
        <v>0</v>
      </c>
      <c r="AS272" s="10"/>
      <c r="AT272" s="10" t="s">
        <v>299</v>
      </c>
      <c r="AU272" s="9"/>
      <c r="AW272" s="12"/>
      <c r="AX272" s="11"/>
      <c r="AY272" s="9"/>
      <c r="AZ272" t="b">
        <v>0</v>
      </c>
      <c r="BA272" s="9"/>
      <c r="BB272" s="12"/>
      <c r="BC272" s="11"/>
      <c r="BD272" s="9" t="s">
        <v>300</v>
      </c>
      <c r="BE272" s="9" t="s">
        <v>301</v>
      </c>
      <c r="BF272" s="9" t="s">
        <v>980</v>
      </c>
      <c r="BG272" s="9" t="s">
        <v>967</v>
      </c>
      <c r="BH272" s="9" t="s">
        <v>304</v>
      </c>
      <c r="BI272" s="9" t="s">
        <v>3135</v>
      </c>
      <c r="BJ272" s="9" t="s">
        <v>3136</v>
      </c>
      <c r="BK272" s="11">
        <v>400</v>
      </c>
      <c r="BL272" s="16" t="s">
        <v>299</v>
      </c>
      <c r="BM272" s="10"/>
      <c r="BN272" s="10"/>
      <c r="BO272" s="10"/>
      <c r="BP272" s="16"/>
      <c r="BQ272" s="16"/>
      <c r="BR272" s="9"/>
      <c r="BS272" s="9"/>
      <c r="BT272" s="9"/>
      <c r="BU272" s="9"/>
      <c r="BV272" s="9"/>
      <c r="BW272" s="10"/>
      <c r="BX272" s="15" t="s">
        <v>3485</v>
      </c>
      <c r="BY272" s="10">
        <v>45120</v>
      </c>
      <c r="BZ272" s="10">
        <v>52425</v>
      </c>
      <c r="CA272" s="10">
        <v>45755</v>
      </c>
      <c r="CC272" s="9" t="s">
        <v>308</v>
      </c>
      <c r="CD272" s="9" t="s">
        <v>309</v>
      </c>
    </row>
    <row r="273" spans="1:82">
      <c r="A273" s="8">
        <v>14089</v>
      </c>
      <c r="B273" s="9" t="s">
        <v>3486</v>
      </c>
      <c r="C273" s="9" t="s">
        <v>3487</v>
      </c>
      <c r="D273" s="10">
        <v>45238</v>
      </c>
      <c r="E273" s="9" t="s">
        <v>3488</v>
      </c>
      <c r="F273" s="9" t="s">
        <v>3489</v>
      </c>
      <c r="G273" s="9" t="s">
        <v>3490</v>
      </c>
      <c r="H273" s="9" t="s">
        <v>281</v>
      </c>
      <c r="I273" s="9" t="s">
        <v>282</v>
      </c>
      <c r="J273" s="9" t="s">
        <v>283</v>
      </c>
      <c r="K273" s="9" t="s">
        <v>1696</v>
      </c>
      <c r="L273" s="9" t="s">
        <v>3491</v>
      </c>
      <c r="M273" s="9" t="s">
        <v>3492</v>
      </c>
      <c r="N273" s="8">
        <v>1</v>
      </c>
      <c r="O273" s="9" t="s">
        <v>3493</v>
      </c>
      <c r="P273" s="11">
        <v>99.9</v>
      </c>
      <c r="Q273" s="11">
        <v>110</v>
      </c>
      <c r="R273" s="11">
        <v>90</v>
      </c>
      <c r="S273" s="11">
        <v>1588.93</v>
      </c>
      <c r="T273" s="11">
        <v>158734.10699999999</v>
      </c>
      <c r="U273" s="12">
        <v>0.05</v>
      </c>
      <c r="V273" s="12"/>
      <c r="W273" s="11"/>
      <c r="X273" s="9" t="s">
        <v>288</v>
      </c>
      <c r="Y273" s="10">
        <v>44396</v>
      </c>
      <c r="Z273" s="13">
        <v>9.4700000000000006E-2</v>
      </c>
      <c r="AC273" s="9" t="s">
        <v>289</v>
      </c>
      <c r="AD273" s="9" t="s">
        <v>290</v>
      </c>
      <c r="AE273" s="8">
        <v>501.46679999999998</v>
      </c>
      <c r="AF273" s="14">
        <v>43.341425999999998</v>
      </c>
      <c r="AG273" s="14">
        <v>6.17476</v>
      </c>
      <c r="AH273" s="9" t="s">
        <v>3129</v>
      </c>
      <c r="AI273" s="15" t="s">
        <v>319</v>
      </c>
      <c r="AJ273" s="9" t="s">
        <v>293</v>
      </c>
      <c r="AK273" s="9" t="s">
        <v>3494</v>
      </c>
      <c r="AL273" s="9" t="s">
        <v>3495</v>
      </c>
      <c r="AM273" s="9" t="s">
        <v>3496</v>
      </c>
      <c r="AN273" s="9" t="s">
        <v>3497</v>
      </c>
      <c r="AO273" s="9" t="s">
        <v>3498</v>
      </c>
      <c r="AP273" s="9" t="s">
        <v>2186</v>
      </c>
      <c r="AQ273" s="9" t="s">
        <v>3134</v>
      </c>
      <c r="AR273" t="b">
        <v>0</v>
      </c>
      <c r="AS273" s="10"/>
      <c r="AT273" s="10" t="s">
        <v>299</v>
      </c>
      <c r="AU273" s="9"/>
      <c r="AW273" s="12"/>
      <c r="AX273" s="11"/>
      <c r="AY273" s="9"/>
      <c r="AZ273" t="b">
        <v>0</v>
      </c>
      <c r="BA273" s="9"/>
      <c r="BB273" s="12"/>
      <c r="BC273" s="11"/>
      <c r="BD273" s="9" t="s">
        <v>300</v>
      </c>
      <c r="BE273" s="9" t="s">
        <v>301</v>
      </c>
      <c r="BF273" s="9" t="s">
        <v>1111</v>
      </c>
      <c r="BG273" s="9" t="s">
        <v>967</v>
      </c>
      <c r="BH273" s="9" t="s">
        <v>304</v>
      </c>
      <c r="BI273" s="9" t="s">
        <v>3499</v>
      </c>
      <c r="BJ273" s="9" t="s">
        <v>3500</v>
      </c>
      <c r="BK273" s="11">
        <v>400</v>
      </c>
      <c r="BL273" s="16" t="s">
        <v>299</v>
      </c>
      <c r="BM273" s="10"/>
      <c r="BN273" s="10"/>
      <c r="BO273" s="10"/>
      <c r="BP273" s="16"/>
      <c r="BQ273" s="16"/>
      <c r="BR273" s="9"/>
      <c r="BS273" s="9"/>
      <c r="BT273" s="9"/>
      <c r="BU273" s="9"/>
      <c r="BV273" s="9"/>
      <c r="BW273" s="10"/>
      <c r="BX273" s="15" t="s">
        <v>1126</v>
      </c>
      <c r="BY273" s="10">
        <v>45238</v>
      </c>
      <c r="BZ273" s="10">
        <v>51663</v>
      </c>
      <c r="CA273" s="10">
        <v>45881</v>
      </c>
      <c r="CC273" s="9" t="s">
        <v>308</v>
      </c>
      <c r="CD273" s="9" t="s">
        <v>309</v>
      </c>
    </row>
    <row r="274" spans="1:82">
      <c r="A274" s="8">
        <v>12116</v>
      </c>
      <c r="B274" s="9" t="s">
        <v>3501</v>
      </c>
      <c r="C274" s="9" t="s">
        <v>3502</v>
      </c>
      <c r="D274" s="10">
        <v>45099</v>
      </c>
      <c r="E274" s="9" t="s">
        <v>3503</v>
      </c>
      <c r="F274" s="9" t="s">
        <v>3504</v>
      </c>
      <c r="G274" s="9" t="s">
        <v>3505</v>
      </c>
      <c r="H274" s="9" t="s">
        <v>281</v>
      </c>
      <c r="I274" s="9" t="s">
        <v>282</v>
      </c>
      <c r="J274" s="9" t="s">
        <v>283</v>
      </c>
      <c r="K274" s="9" t="s">
        <v>1696</v>
      </c>
      <c r="L274" s="9" t="s">
        <v>3506</v>
      </c>
      <c r="M274" s="9" t="s">
        <v>3507</v>
      </c>
      <c r="N274" s="8">
        <v>1</v>
      </c>
      <c r="O274" s="9" t="s">
        <v>3508</v>
      </c>
      <c r="P274" s="11">
        <v>99.9</v>
      </c>
      <c r="Q274" s="11">
        <v>110</v>
      </c>
      <c r="R274" s="11">
        <v>89</v>
      </c>
      <c r="S274" s="11">
        <v>1485.71</v>
      </c>
      <c r="T274" s="11">
        <v>148422.429</v>
      </c>
      <c r="U274" s="12">
        <v>0.05</v>
      </c>
      <c r="V274" s="12"/>
      <c r="W274" s="11"/>
      <c r="X274" s="9" t="s">
        <v>288</v>
      </c>
      <c r="Y274" s="10">
        <v>44012</v>
      </c>
      <c r="Z274" s="13">
        <v>0.1051</v>
      </c>
      <c r="AC274" s="9" t="s">
        <v>289</v>
      </c>
      <c r="AD274" s="9" t="s">
        <v>290</v>
      </c>
      <c r="AE274" s="8">
        <v>491.9</v>
      </c>
      <c r="AF274" s="14">
        <v>44.490319999999997</v>
      </c>
      <c r="AG274" s="14">
        <v>5.3704599999999996</v>
      </c>
      <c r="AH274" s="9" t="s">
        <v>3129</v>
      </c>
      <c r="AI274" s="15" t="s">
        <v>319</v>
      </c>
      <c r="AJ274" s="9" t="s">
        <v>293</v>
      </c>
      <c r="AK274" s="9" t="s">
        <v>3509</v>
      </c>
      <c r="AL274" s="9" t="s">
        <v>3510</v>
      </c>
      <c r="AM274" s="9"/>
      <c r="AN274" s="9" t="s">
        <v>3511</v>
      </c>
      <c r="AO274" s="9"/>
      <c r="AP274" s="9" t="s">
        <v>2186</v>
      </c>
      <c r="AQ274" s="9" t="s">
        <v>3512</v>
      </c>
      <c r="AR274" t="b">
        <v>0</v>
      </c>
      <c r="AS274" s="10"/>
      <c r="AT274" s="10" t="s">
        <v>299</v>
      </c>
      <c r="AU274" s="9"/>
      <c r="AW274" s="12"/>
      <c r="AX274" s="11"/>
      <c r="AY274" s="9"/>
      <c r="AZ274" t="b">
        <v>0</v>
      </c>
      <c r="BA274" s="9"/>
      <c r="BB274" s="12"/>
      <c r="BC274" s="11"/>
      <c r="BD274" s="9" t="s">
        <v>300</v>
      </c>
      <c r="BE274" s="9" t="s">
        <v>86</v>
      </c>
      <c r="BF274" s="9" t="s">
        <v>402</v>
      </c>
      <c r="BG274" s="9" t="s">
        <v>967</v>
      </c>
      <c r="BH274" s="9" t="s">
        <v>304</v>
      </c>
      <c r="BI274" s="9" t="s">
        <v>3513</v>
      </c>
      <c r="BJ274" s="9" t="s">
        <v>3514</v>
      </c>
      <c r="BK274" s="11">
        <v>400</v>
      </c>
      <c r="BL274" s="16" t="s">
        <v>299</v>
      </c>
      <c r="BM274" s="10"/>
      <c r="BN274" s="10"/>
      <c r="BO274" s="10"/>
      <c r="BP274" s="16"/>
      <c r="BQ274" s="16"/>
      <c r="BR274" s="9"/>
      <c r="BS274" s="9"/>
      <c r="BT274" s="9"/>
      <c r="BU274" s="9"/>
      <c r="BV274" s="9"/>
      <c r="BW274" s="10"/>
      <c r="BX274" s="15" t="s">
        <v>3515</v>
      </c>
      <c r="BY274" s="10">
        <v>45099</v>
      </c>
      <c r="BZ274" s="10">
        <v>50984</v>
      </c>
      <c r="CA274" s="10"/>
      <c r="CC274" s="9" t="s">
        <v>308</v>
      </c>
      <c r="CD274" s="9" t="s">
        <v>309</v>
      </c>
    </row>
    <row r="275" spans="1:82">
      <c r="A275" s="8">
        <v>15842</v>
      </c>
      <c r="B275" s="9" t="s">
        <v>3516</v>
      </c>
      <c r="C275" s="9" t="s">
        <v>3517</v>
      </c>
      <c r="D275" s="10">
        <v>45098</v>
      </c>
      <c r="E275" s="9" t="s">
        <v>3518</v>
      </c>
      <c r="F275" s="9" t="s">
        <v>997</v>
      </c>
      <c r="G275" s="9" t="s">
        <v>3519</v>
      </c>
      <c r="H275" s="9" t="s">
        <v>281</v>
      </c>
      <c r="I275" s="9" t="s">
        <v>282</v>
      </c>
      <c r="J275" s="9" t="s">
        <v>283</v>
      </c>
      <c r="K275" s="9" t="s">
        <v>1696</v>
      </c>
      <c r="L275" s="9" t="s">
        <v>3520</v>
      </c>
      <c r="M275" s="9" t="s">
        <v>3521</v>
      </c>
      <c r="N275" s="8">
        <v>1</v>
      </c>
      <c r="O275" s="9" t="s">
        <v>3522</v>
      </c>
      <c r="P275" s="11">
        <v>98.174999999999997</v>
      </c>
      <c r="Q275" s="11">
        <v>110</v>
      </c>
      <c r="R275" s="11">
        <v>90</v>
      </c>
      <c r="S275" s="11">
        <v>1547.88</v>
      </c>
      <c r="T275" s="11">
        <v>151963.11900000001</v>
      </c>
      <c r="U275" s="12">
        <v>0.05</v>
      </c>
      <c r="V275" s="12"/>
      <c r="W275" s="11"/>
      <c r="X275" s="9" t="s">
        <v>288</v>
      </c>
      <c r="Y275" s="10">
        <v>44362</v>
      </c>
      <c r="Z275" s="13">
        <v>9.5200000000000007E-2</v>
      </c>
      <c r="AC275" s="9" t="s">
        <v>289</v>
      </c>
      <c r="AD275" s="9" t="s">
        <v>290</v>
      </c>
      <c r="AE275" s="8">
        <v>476.42975999999999</v>
      </c>
      <c r="AF275" s="14">
        <v>44.390799999999999</v>
      </c>
      <c r="AG275" s="14">
        <v>5.2147899999999998</v>
      </c>
      <c r="AH275" s="9" t="s">
        <v>3129</v>
      </c>
      <c r="AI275" s="15" t="s">
        <v>3523</v>
      </c>
      <c r="AJ275" s="9" t="s">
        <v>293</v>
      </c>
      <c r="AK275" s="9" t="s">
        <v>3524</v>
      </c>
      <c r="AL275" s="9" t="s">
        <v>3525</v>
      </c>
      <c r="AM275" s="9"/>
      <c r="AN275" s="9" t="s">
        <v>3526</v>
      </c>
      <c r="AO275" s="9"/>
      <c r="AP275" s="9" t="s">
        <v>2186</v>
      </c>
      <c r="AQ275" s="9" t="s">
        <v>3134</v>
      </c>
      <c r="AR275" t="b">
        <v>0</v>
      </c>
      <c r="AS275" s="10"/>
      <c r="AT275" s="10" t="s">
        <v>299</v>
      </c>
      <c r="AU275" s="9"/>
      <c r="AW275" s="12"/>
      <c r="AX275" s="11"/>
      <c r="AY275" s="9"/>
      <c r="AZ275" t="b">
        <v>0</v>
      </c>
      <c r="BA275" s="9"/>
      <c r="BB275" s="12"/>
      <c r="BC275" s="11"/>
      <c r="BD275" s="9" t="s">
        <v>300</v>
      </c>
      <c r="BE275" s="9" t="s">
        <v>47</v>
      </c>
      <c r="BF275" s="9" t="s">
        <v>980</v>
      </c>
      <c r="BG275" s="9" t="s">
        <v>967</v>
      </c>
      <c r="BH275" s="9" t="s">
        <v>304</v>
      </c>
      <c r="BI275" s="9" t="s">
        <v>3527</v>
      </c>
      <c r="BJ275" s="9" t="s">
        <v>3528</v>
      </c>
      <c r="BK275" s="11">
        <v>400</v>
      </c>
      <c r="BL275" s="16" t="s">
        <v>299</v>
      </c>
      <c r="BM275" s="10"/>
      <c r="BN275" s="10"/>
      <c r="BO275" s="10"/>
      <c r="BP275" s="16"/>
      <c r="BQ275" s="16"/>
      <c r="BR275" s="9"/>
      <c r="BS275" s="9"/>
      <c r="BT275" s="9"/>
      <c r="BU275" s="9"/>
      <c r="BV275" s="9"/>
      <c r="BW275" s="10"/>
      <c r="BX275" s="15" t="s">
        <v>3529</v>
      </c>
      <c r="BY275" s="10">
        <v>45098</v>
      </c>
      <c r="BZ275" s="10">
        <v>52069</v>
      </c>
      <c r="CA275" s="10">
        <v>45554</v>
      </c>
      <c r="CC275" s="9" t="s">
        <v>308</v>
      </c>
      <c r="CD275" s="9" t="s">
        <v>309</v>
      </c>
    </row>
    <row r="276" spans="1:82">
      <c r="A276" s="8">
        <v>11350</v>
      </c>
      <c r="B276" s="9" t="s">
        <v>3530</v>
      </c>
      <c r="C276" s="9" t="s">
        <v>3487</v>
      </c>
      <c r="D276" s="10">
        <v>45096</v>
      </c>
      <c r="E276" s="9" t="s">
        <v>3531</v>
      </c>
      <c r="F276" s="9" t="s">
        <v>3532</v>
      </c>
      <c r="G276" s="9" t="s">
        <v>3533</v>
      </c>
      <c r="H276" s="9" t="s">
        <v>281</v>
      </c>
      <c r="I276" s="9" t="s">
        <v>282</v>
      </c>
      <c r="J276" s="9" t="s">
        <v>283</v>
      </c>
      <c r="K276" s="9" t="s">
        <v>1696</v>
      </c>
      <c r="L276" s="9" t="s">
        <v>3534</v>
      </c>
      <c r="M276" s="9" t="s">
        <v>3535</v>
      </c>
      <c r="N276" s="8">
        <v>1</v>
      </c>
      <c r="O276" s="9" t="s">
        <v>3536</v>
      </c>
      <c r="P276" s="11">
        <v>94.77</v>
      </c>
      <c r="Q276" s="11">
        <v>110</v>
      </c>
      <c r="R276" s="11">
        <v>90</v>
      </c>
      <c r="S276" s="11">
        <v>1665.12</v>
      </c>
      <c r="T276" s="11">
        <v>157803.42240000001</v>
      </c>
      <c r="U276" s="12">
        <v>0.05</v>
      </c>
      <c r="V276" s="12"/>
      <c r="W276" s="11"/>
      <c r="X276" s="9" t="s">
        <v>288</v>
      </c>
      <c r="Y276" s="10">
        <v>44398</v>
      </c>
      <c r="Z276" s="13">
        <v>9.4700000000000006E-2</v>
      </c>
      <c r="AC276" s="9" t="s">
        <v>289</v>
      </c>
      <c r="AD276" s="9" t="s">
        <v>290</v>
      </c>
      <c r="AE276" s="8">
        <v>456.94303000000002</v>
      </c>
      <c r="AF276" s="14">
        <v>43.144919999999999</v>
      </c>
      <c r="AG276" s="14">
        <v>6.0255200000000002</v>
      </c>
      <c r="AH276" s="9" t="s">
        <v>3129</v>
      </c>
      <c r="AI276" s="15" t="s">
        <v>319</v>
      </c>
      <c r="AJ276" s="9" t="s">
        <v>293</v>
      </c>
      <c r="AK276" s="9" t="s">
        <v>3537</v>
      </c>
      <c r="AL276" s="9" t="s">
        <v>3538</v>
      </c>
      <c r="AM276" s="9"/>
      <c r="AN276" s="9" t="s">
        <v>3539</v>
      </c>
      <c r="AO276" s="9" t="s">
        <v>3540</v>
      </c>
      <c r="AP276" s="9" t="s">
        <v>2186</v>
      </c>
      <c r="AQ276" s="9" t="s">
        <v>528</v>
      </c>
      <c r="AR276" t="b">
        <v>0</v>
      </c>
      <c r="AS276" s="10"/>
      <c r="AT276" s="10" t="s">
        <v>299</v>
      </c>
      <c r="AU276" s="9"/>
      <c r="AW276" s="12"/>
      <c r="AX276" s="11"/>
      <c r="AY276" s="9"/>
      <c r="AZ276" t="b">
        <v>0</v>
      </c>
      <c r="BA276" s="9"/>
      <c r="BB276" s="12"/>
      <c r="BC276" s="11"/>
      <c r="BD276" s="9" t="s">
        <v>300</v>
      </c>
      <c r="BE276" s="9" t="s">
        <v>301</v>
      </c>
      <c r="BF276" s="9" t="s">
        <v>1111</v>
      </c>
      <c r="BG276" s="9" t="s">
        <v>967</v>
      </c>
      <c r="BH276" s="9" t="s">
        <v>304</v>
      </c>
      <c r="BI276" s="9" t="s">
        <v>3527</v>
      </c>
      <c r="BJ276" s="9" t="s">
        <v>3528</v>
      </c>
      <c r="BK276" s="11">
        <v>400</v>
      </c>
      <c r="BL276" s="16" t="s">
        <v>299</v>
      </c>
      <c r="BM276" s="10"/>
      <c r="BN276" s="10"/>
      <c r="BO276" s="10"/>
      <c r="BP276" s="16"/>
      <c r="BQ276" s="16"/>
      <c r="BR276" s="9"/>
      <c r="BS276" s="9"/>
      <c r="BT276" s="9"/>
      <c r="BU276" s="9"/>
      <c r="BV276" s="9"/>
      <c r="BW276" s="10"/>
      <c r="BX276" s="15" t="s">
        <v>3541</v>
      </c>
      <c r="BY276" s="10"/>
      <c r="BZ276" s="10"/>
      <c r="CA276" s="10"/>
      <c r="CC276" s="9" t="s">
        <v>308</v>
      </c>
      <c r="CD276" s="9" t="s">
        <v>309</v>
      </c>
    </row>
    <row r="277" spans="1:82">
      <c r="A277" s="8">
        <v>12118</v>
      </c>
      <c r="B277" s="9" t="s">
        <v>3542</v>
      </c>
      <c r="C277" s="9" t="s">
        <v>3502</v>
      </c>
      <c r="D277" s="10">
        <v>45092</v>
      </c>
      <c r="E277" s="9" t="s">
        <v>3543</v>
      </c>
      <c r="F277" s="9" t="s">
        <v>3544</v>
      </c>
      <c r="G277" s="9" t="s">
        <v>3545</v>
      </c>
      <c r="H277" s="9" t="s">
        <v>281</v>
      </c>
      <c r="I277" s="9" t="s">
        <v>282</v>
      </c>
      <c r="J277" s="9" t="s">
        <v>283</v>
      </c>
      <c r="K277" s="9" t="s">
        <v>1696</v>
      </c>
      <c r="L277" s="9" t="s">
        <v>3546</v>
      </c>
      <c r="M277" s="9" t="s">
        <v>3547</v>
      </c>
      <c r="N277" s="8">
        <v>1</v>
      </c>
      <c r="O277" s="9" t="s">
        <v>3548</v>
      </c>
      <c r="P277" s="11">
        <v>99.9</v>
      </c>
      <c r="Q277" s="11">
        <v>110</v>
      </c>
      <c r="R277" s="11">
        <v>89</v>
      </c>
      <c r="S277" s="11">
        <v>1315.22</v>
      </c>
      <c r="T277" s="11">
        <v>131390.478</v>
      </c>
      <c r="U277" s="12">
        <v>1.9E-2</v>
      </c>
      <c r="V277" s="12"/>
      <c r="W277" s="11"/>
      <c r="X277" s="9" t="s">
        <v>288</v>
      </c>
      <c r="Y277" s="10">
        <v>44012</v>
      </c>
      <c r="Z277" s="13">
        <v>0.1051</v>
      </c>
      <c r="AC277" s="9" t="s">
        <v>289</v>
      </c>
      <c r="AD277" s="9" t="s">
        <v>290</v>
      </c>
      <c r="AE277" s="8">
        <v>504.45504</v>
      </c>
      <c r="AF277" s="14">
        <v>45.375430000000001</v>
      </c>
      <c r="AG277" s="14">
        <v>0.20585999999999999</v>
      </c>
      <c r="AH277" s="9" t="s">
        <v>3129</v>
      </c>
      <c r="AI277" s="15" t="s">
        <v>3549</v>
      </c>
      <c r="AJ277" s="9" t="s">
        <v>293</v>
      </c>
      <c r="AK277" s="9" t="s">
        <v>3550</v>
      </c>
      <c r="AL277" s="9" t="s">
        <v>3551</v>
      </c>
      <c r="AM277" s="9"/>
      <c r="AN277" s="9" t="s">
        <v>3552</v>
      </c>
      <c r="AO277" s="9"/>
      <c r="AP277" s="9" t="s">
        <v>3133</v>
      </c>
      <c r="AQ277" s="9" t="s">
        <v>3134</v>
      </c>
      <c r="AR277" t="b">
        <v>0</v>
      </c>
      <c r="AS277" s="10"/>
      <c r="AT277" s="10" t="s">
        <v>299</v>
      </c>
      <c r="AU277" s="9"/>
      <c r="AW277" s="12"/>
      <c r="AX277" s="11"/>
      <c r="AY277" s="9"/>
      <c r="AZ277" t="b">
        <v>0</v>
      </c>
      <c r="BA277" s="9"/>
      <c r="BB277" s="12"/>
      <c r="BC277" s="11"/>
      <c r="BD277" s="9" t="s">
        <v>325</v>
      </c>
      <c r="BE277" s="9" t="s">
        <v>86</v>
      </c>
      <c r="BF277" s="9" t="s">
        <v>402</v>
      </c>
      <c r="BG277" s="9" t="s">
        <v>749</v>
      </c>
      <c r="BH277" s="9" t="s">
        <v>304</v>
      </c>
      <c r="BI277" s="9" t="s">
        <v>3513</v>
      </c>
      <c r="BJ277" s="9" t="s">
        <v>3514</v>
      </c>
      <c r="BK277" s="11">
        <v>400</v>
      </c>
      <c r="BL277" s="16" t="s">
        <v>299</v>
      </c>
      <c r="BM277" s="10"/>
      <c r="BN277" s="10"/>
      <c r="BO277" s="10"/>
      <c r="BP277" s="16"/>
      <c r="BQ277" s="16"/>
      <c r="BR277" s="9"/>
      <c r="BS277" s="9"/>
      <c r="BT277" s="9"/>
      <c r="BU277" s="9"/>
      <c r="BV277" s="9"/>
      <c r="BW277" s="10"/>
      <c r="BX277" s="15" t="s">
        <v>3553</v>
      </c>
      <c r="BY277" s="10">
        <v>45092</v>
      </c>
      <c r="BZ277" s="10">
        <v>52396</v>
      </c>
      <c r="CA277" s="10">
        <v>45840</v>
      </c>
      <c r="CC277" s="9" t="s">
        <v>308</v>
      </c>
      <c r="CD277" s="9" t="s">
        <v>309</v>
      </c>
    </row>
    <row r="278" spans="1:82" ht="29.1">
      <c r="A278" s="8">
        <v>26533</v>
      </c>
      <c r="B278" s="9" t="s">
        <v>1496</v>
      </c>
      <c r="C278" s="9" t="s">
        <v>3122</v>
      </c>
      <c r="D278" s="10">
        <v>45083</v>
      </c>
      <c r="E278" s="9" t="s">
        <v>3554</v>
      </c>
      <c r="F278" s="9" t="s">
        <v>1498</v>
      </c>
      <c r="G278" s="9" t="s">
        <v>2925</v>
      </c>
      <c r="H278" s="9" t="s">
        <v>281</v>
      </c>
      <c r="I278" s="9" t="s">
        <v>282</v>
      </c>
      <c r="J278" s="9" t="s">
        <v>283</v>
      </c>
      <c r="K278" s="9" t="s">
        <v>1696</v>
      </c>
      <c r="L278" s="9" t="s">
        <v>3555</v>
      </c>
      <c r="M278" s="9" t="s">
        <v>3556</v>
      </c>
      <c r="N278" s="8">
        <v>1</v>
      </c>
      <c r="O278" s="9" t="s">
        <v>3557</v>
      </c>
      <c r="P278" s="11">
        <v>98.174999999999997</v>
      </c>
      <c r="Q278" s="11">
        <v>121</v>
      </c>
      <c r="R278" s="11">
        <v>90</v>
      </c>
      <c r="S278" s="11">
        <v>1210.08</v>
      </c>
      <c r="T278" s="11">
        <v>118799.60400000001</v>
      </c>
      <c r="U278" s="12">
        <v>1.9E-2</v>
      </c>
      <c r="V278" s="12"/>
      <c r="W278" s="11"/>
      <c r="X278" s="9" t="s">
        <v>288</v>
      </c>
      <c r="Y278" s="10">
        <v>44366</v>
      </c>
      <c r="Z278" s="13">
        <v>9.74E-2</v>
      </c>
      <c r="AC278" s="9" t="s">
        <v>289</v>
      </c>
      <c r="AD278" s="9" t="s">
        <v>290</v>
      </c>
      <c r="AE278" s="8">
        <v>476.42975999999999</v>
      </c>
      <c r="AF278" s="14">
        <v>45.287700000000001</v>
      </c>
      <c r="AG278" s="14">
        <v>2.13043</v>
      </c>
      <c r="AH278" s="9" t="s">
        <v>3129</v>
      </c>
      <c r="AI278" s="15" t="s">
        <v>319</v>
      </c>
      <c r="AJ278" s="9" t="s">
        <v>293</v>
      </c>
      <c r="AK278" s="9" t="s">
        <v>3558</v>
      </c>
      <c r="AL278" s="9" t="s">
        <v>3559</v>
      </c>
      <c r="AM278" s="9"/>
      <c r="AN278" s="9" t="s">
        <v>3560</v>
      </c>
      <c r="AO278" s="9"/>
      <c r="AP278" s="9" t="s">
        <v>3133</v>
      </c>
      <c r="AQ278" s="9" t="s">
        <v>3134</v>
      </c>
      <c r="AR278" t="b">
        <v>0</v>
      </c>
      <c r="AS278" s="10"/>
      <c r="AT278" s="10" t="s">
        <v>299</v>
      </c>
      <c r="AU278" s="9"/>
      <c r="AW278" s="12"/>
      <c r="AX278" s="11"/>
      <c r="AY278" s="9"/>
      <c r="AZ278" t="b">
        <v>0</v>
      </c>
      <c r="BA278" s="9"/>
      <c r="BB278" s="12"/>
      <c r="BC278" s="11"/>
      <c r="BD278" s="9" t="s">
        <v>325</v>
      </c>
      <c r="BE278" s="9" t="s">
        <v>301</v>
      </c>
      <c r="BF278" s="9" t="s">
        <v>402</v>
      </c>
      <c r="BG278" s="9" t="s">
        <v>749</v>
      </c>
      <c r="BH278" s="9" t="s">
        <v>304</v>
      </c>
      <c r="BI278" s="9" t="s">
        <v>3135</v>
      </c>
      <c r="BJ278" s="9" t="s">
        <v>3136</v>
      </c>
      <c r="BK278" s="11">
        <v>400</v>
      </c>
      <c r="BL278" s="16" t="s">
        <v>299</v>
      </c>
      <c r="BM278" s="10"/>
      <c r="BN278" s="10"/>
      <c r="BO278" s="10"/>
      <c r="BP278" s="16"/>
      <c r="BQ278" s="16"/>
      <c r="BR278" s="9"/>
      <c r="BS278" s="9"/>
      <c r="BT278" s="9"/>
      <c r="BU278" s="9"/>
      <c r="BV278" s="9"/>
      <c r="BW278" s="10"/>
      <c r="BX278" s="15" t="s">
        <v>3561</v>
      </c>
      <c r="BY278" s="10">
        <v>45083</v>
      </c>
      <c r="BZ278" s="10">
        <v>51754</v>
      </c>
      <c r="CA278" s="10">
        <v>45539</v>
      </c>
      <c r="CC278" s="9" t="s">
        <v>308</v>
      </c>
      <c r="CD278" s="9" t="s">
        <v>309</v>
      </c>
    </row>
    <row r="279" spans="1:82">
      <c r="A279" s="8">
        <v>12528</v>
      </c>
      <c r="B279" s="9" t="s">
        <v>3562</v>
      </c>
      <c r="C279" s="9" t="s">
        <v>3517</v>
      </c>
      <c r="D279" s="10">
        <v>45078</v>
      </c>
      <c r="E279" s="9" t="s">
        <v>3563</v>
      </c>
      <c r="F279" s="9" t="s">
        <v>887</v>
      </c>
      <c r="G279" s="9" t="s">
        <v>888</v>
      </c>
      <c r="H279" s="9" t="s">
        <v>315</v>
      </c>
      <c r="I279" s="9" t="s">
        <v>282</v>
      </c>
      <c r="J279" s="9" t="s">
        <v>283</v>
      </c>
      <c r="K279" s="9" t="s">
        <v>1696</v>
      </c>
      <c r="L279" s="9" t="s">
        <v>3564</v>
      </c>
      <c r="M279" s="9" t="s">
        <v>3565</v>
      </c>
      <c r="N279" s="8">
        <v>1</v>
      </c>
      <c r="O279" s="9" t="s">
        <v>3566</v>
      </c>
      <c r="P279" s="11">
        <v>99.94</v>
      </c>
      <c r="Q279" s="11">
        <v>110</v>
      </c>
      <c r="R279" s="11">
        <v>90</v>
      </c>
      <c r="S279" s="11">
        <v>971.46</v>
      </c>
      <c r="T279" s="11">
        <v>97087.712400000004</v>
      </c>
      <c r="U279" s="12">
        <v>0.05</v>
      </c>
      <c r="V279" s="12"/>
      <c r="W279" s="11"/>
      <c r="X279" s="9" t="s">
        <v>288</v>
      </c>
      <c r="Y279" s="10">
        <v>44186</v>
      </c>
      <c r="Z279" s="13">
        <v>9.8699999999999996E-2</v>
      </c>
      <c r="AC279" s="9" t="s">
        <v>289</v>
      </c>
      <c r="AD279" s="9" t="s">
        <v>290</v>
      </c>
      <c r="AE279" s="8">
        <v>482.21575999999999</v>
      </c>
      <c r="AF279" s="14">
        <v>44.867130000000003</v>
      </c>
      <c r="AG279" s="14">
        <v>4.8677700000000002</v>
      </c>
      <c r="AH279" s="9" t="s">
        <v>3129</v>
      </c>
      <c r="AI279" s="15" t="s">
        <v>319</v>
      </c>
      <c r="AJ279" s="9" t="s">
        <v>293</v>
      </c>
      <c r="AK279" s="9" t="s">
        <v>3567</v>
      </c>
      <c r="AL279" s="9" t="s">
        <v>3568</v>
      </c>
      <c r="AM279" s="9"/>
      <c r="AN279" s="9" t="s">
        <v>3569</v>
      </c>
      <c r="AO279" s="9"/>
      <c r="AP279" s="9" t="s">
        <v>2186</v>
      </c>
      <c r="AQ279" s="9" t="s">
        <v>3178</v>
      </c>
      <c r="AR279" t="b">
        <v>0</v>
      </c>
      <c r="AS279" s="10"/>
      <c r="AT279" s="10" t="s">
        <v>299</v>
      </c>
      <c r="AU279" s="9" t="s">
        <v>2761</v>
      </c>
      <c r="AW279" s="12"/>
      <c r="AX279" s="11"/>
      <c r="AY279" s="9"/>
      <c r="AZ279" t="b">
        <v>0</v>
      </c>
      <c r="BA279" s="9"/>
      <c r="BB279" s="12"/>
      <c r="BC279" s="11"/>
      <c r="BD279" s="9" t="s">
        <v>300</v>
      </c>
      <c r="BE279" s="9" t="s">
        <v>47</v>
      </c>
      <c r="BF279" s="9" t="s">
        <v>702</v>
      </c>
      <c r="BG279" s="9" t="s">
        <v>967</v>
      </c>
      <c r="BH279" s="9" t="s">
        <v>304</v>
      </c>
      <c r="BI279" s="9" t="s">
        <v>3527</v>
      </c>
      <c r="BJ279" s="9" t="s">
        <v>3528</v>
      </c>
      <c r="BK279" s="11">
        <v>400</v>
      </c>
      <c r="BL279" s="16" t="s">
        <v>299</v>
      </c>
      <c r="BM279" s="10"/>
      <c r="BN279" s="10"/>
      <c r="BO279" s="10"/>
      <c r="BP279" s="16"/>
      <c r="BQ279" s="16"/>
      <c r="BR279" s="9" t="s">
        <v>3570</v>
      </c>
      <c r="BS279" s="9" t="s">
        <v>3571</v>
      </c>
      <c r="BT279" s="9" t="s">
        <v>3572</v>
      </c>
      <c r="BU279" s="9" t="s">
        <v>3573</v>
      </c>
      <c r="BV279" s="9"/>
      <c r="BW279" s="10">
        <v>56036</v>
      </c>
      <c r="BX279" s="15" t="s">
        <v>3574</v>
      </c>
      <c r="BY279" s="10">
        <v>45078</v>
      </c>
      <c r="BZ279" s="10">
        <v>51581</v>
      </c>
      <c r="CA279" s="10">
        <v>45677</v>
      </c>
      <c r="CC279" s="9" t="s">
        <v>308</v>
      </c>
      <c r="CD279" s="9" t="s">
        <v>309</v>
      </c>
    </row>
    <row r="280" spans="1:82">
      <c r="A280" s="8">
        <v>13941</v>
      </c>
      <c r="B280" s="9" t="s">
        <v>3575</v>
      </c>
      <c r="C280" s="9" t="s">
        <v>3487</v>
      </c>
      <c r="D280" s="10">
        <v>45072</v>
      </c>
      <c r="E280" s="9" t="s">
        <v>3576</v>
      </c>
      <c r="F280" s="9" t="s">
        <v>3577</v>
      </c>
      <c r="G280" s="9" t="s">
        <v>3578</v>
      </c>
      <c r="H280" s="9" t="s">
        <v>281</v>
      </c>
      <c r="I280" s="9" t="s">
        <v>282</v>
      </c>
      <c r="J280" s="9" t="s">
        <v>283</v>
      </c>
      <c r="K280" s="9" t="s">
        <v>284</v>
      </c>
      <c r="L280" s="9" t="s">
        <v>3579</v>
      </c>
      <c r="M280" s="9" t="s">
        <v>3580</v>
      </c>
      <c r="N280" s="8">
        <v>1</v>
      </c>
      <c r="O280" s="9" t="s">
        <v>3581</v>
      </c>
      <c r="P280" s="11">
        <v>122.72</v>
      </c>
      <c r="Q280" s="11">
        <v>121</v>
      </c>
      <c r="R280" s="11">
        <v>99.9</v>
      </c>
      <c r="S280" s="11">
        <v>1246.99</v>
      </c>
      <c r="T280" s="11">
        <v>153030.6128</v>
      </c>
      <c r="U280" s="12">
        <v>3.4000000000000002E-2</v>
      </c>
      <c r="V280" s="12"/>
      <c r="W280" s="11"/>
      <c r="X280" s="9" t="s">
        <v>288</v>
      </c>
      <c r="Y280" s="10">
        <v>44602</v>
      </c>
      <c r="Z280" s="13">
        <v>0.12280000000000001</v>
      </c>
      <c r="AA280" t="b">
        <v>1</v>
      </c>
      <c r="AC280" s="9" t="s">
        <v>289</v>
      </c>
      <c r="AD280" s="9" t="s">
        <v>290</v>
      </c>
      <c r="AE280" s="8">
        <v>591.68299999999999</v>
      </c>
      <c r="AF280" s="14">
        <v>43.423940000000002</v>
      </c>
      <c r="AG280" s="14">
        <v>1.70869</v>
      </c>
      <c r="AH280" s="9" t="s">
        <v>3129</v>
      </c>
      <c r="AI280" s="15" t="s">
        <v>319</v>
      </c>
      <c r="AJ280" s="9" t="s">
        <v>293</v>
      </c>
      <c r="AK280" s="9" t="s">
        <v>3582</v>
      </c>
      <c r="AL280" s="9" t="s">
        <v>3583</v>
      </c>
      <c r="AM280" s="9"/>
      <c r="AN280" s="9" t="s">
        <v>3584</v>
      </c>
      <c r="AO280" s="9"/>
      <c r="AP280" s="9" t="s">
        <v>3133</v>
      </c>
      <c r="AQ280" s="9" t="s">
        <v>3134</v>
      </c>
      <c r="AR280" t="b">
        <v>0</v>
      </c>
      <c r="AS280" s="10"/>
      <c r="AT280" s="10" t="s">
        <v>299</v>
      </c>
      <c r="AU280" s="9"/>
      <c r="AW280" s="12"/>
      <c r="AX280" s="11"/>
      <c r="AY280" s="9"/>
      <c r="AZ280" t="b">
        <v>0</v>
      </c>
      <c r="BA280" s="9"/>
      <c r="BB280" s="12"/>
      <c r="BC280" s="11"/>
      <c r="BD280" s="9" t="s">
        <v>325</v>
      </c>
      <c r="BE280" s="9" t="s">
        <v>301</v>
      </c>
      <c r="BF280" s="9" t="s">
        <v>702</v>
      </c>
      <c r="BG280" s="9" t="s">
        <v>738</v>
      </c>
      <c r="BH280" s="9" t="s">
        <v>304</v>
      </c>
      <c r="BI280" s="9" t="s">
        <v>3499</v>
      </c>
      <c r="BJ280" s="9" t="s">
        <v>3500</v>
      </c>
      <c r="BK280" s="11">
        <v>400</v>
      </c>
      <c r="BL280" s="16" t="s">
        <v>299</v>
      </c>
      <c r="BM280" s="10"/>
      <c r="BN280" s="10"/>
      <c r="BO280" s="10"/>
      <c r="BP280" s="16"/>
      <c r="BQ280" s="16"/>
      <c r="BR280" s="9"/>
      <c r="BS280" s="9"/>
      <c r="BT280" s="9"/>
      <c r="BU280" s="9"/>
      <c r="BV280" s="9"/>
      <c r="BW280" s="10"/>
      <c r="BX280" s="15" t="s">
        <v>3585</v>
      </c>
      <c r="BY280" s="10"/>
      <c r="BZ280" s="10"/>
      <c r="CA280" s="10"/>
      <c r="CC280" s="9" t="s">
        <v>308</v>
      </c>
      <c r="CD280" s="9" t="s">
        <v>309</v>
      </c>
    </row>
    <row r="281" spans="1:82">
      <c r="A281" s="8">
        <v>27361</v>
      </c>
      <c r="B281" s="9" t="s">
        <v>3586</v>
      </c>
      <c r="C281" s="9" t="s">
        <v>3122</v>
      </c>
      <c r="D281" s="10">
        <v>45057</v>
      </c>
      <c r="E281" s="9" t="s">
        <v>3587</v>
      </c>
      <c r="F281" s="9" t="s">
        <v>3588</v>
      </c>
      <c r="G281" s="9" t="s">
        <v>3589</v>
      </c>
      <c r="H281" s="9" t="s">
        <v>281</v>
      </c>
      <c r="I281" s="9" t="s">
        <v>282</v>
      </c>
      <c r="J281" s="9" t="s">
        <v>283</v>
      </c>
      <c r="K281" s="9" t="s">
        <v>1696</v>
      </c>
      <c r="L281" s="9" t="s">
        <v>3590</v>
      </c>
      <c r="M281" s="9" t="s">
        <v>3591</v>
      </c>
      <c r="N281" s="8">
        <v>1</v>
      </c>
      <c r="O281" s="9" t="s">
        <v>3592</v>
      </c>
      <c r="P281" s="11">
        <v>99.715000000000003</v>
      </c>
      <c r="Q281" s="11">
        <v>110</v>
      </c>
      <c r="R281" s="11">
        <v>90</v>
      </c>
      <c r="S281" s="11">
        <v>1204.6300000000001</v>
      </c>
      <c r="T281" s="11">
        <v>120119.68045</v>
      </c>
      <c r="U281" s="12">
        <v>4.2999999999999997E-2</v>
      </c>
      <c r="V281" s="12"/>
      <c r="W281" s="11"/>
      <c r="X281" s="9" t="s">
        <v>288</v>
      </c>
      <c r="Y281" s="10">
        <v>44455</v>
      </c>
      <c r="Z281" s="13">
        <v>9.4700000000000006E-2</v>
      </c>
      <c r="AC281" s="9" t="s">
        <v>289</v>
      </c>
      <c r="AD281" s="9" t="s">
        <v>290</v>
      </c>
      <c r="AE281" s="8">
        <v>483.90316999999999</v>
      </c>
      <c r="AF281" s="14">
        <v>43.730989999999998</v>
      </c>
      <c r="AG281" s="14">
        <v>0.80213999999999996</v>
      </c>
      <c r="AH281" s="9" t="s">
        <v>3129</v>
      </c>
      <c r="AI281" s="15" t="s">
        <v>319</v>
      </c>
      <c r="AJ281" s="9" t="s">
        <v>293</v>
      </c>
      <c r="AK281" s="9" t="s">
        <v>3593</v>
      </c>
      <c r="AL281" s="9" t="s">
        <v>3594</v>
      </c>
      <c r="AM281" s="9"/>
      <c r="AN281" s="9" t="s">
        <v>3595</v>
      </c>
      <c r="AO281" s="9"/>
      <c r="AP281" s="9" t="s">
        <v>3133</v>
      </c>
      <c r="AQ281" s="9" t="s">
        <v>3512</v>
      </c>
      <c r="AR281" t="b">
        <v>0</v>
      </c>
      <c r="AS281" s="10"/>
      <c r="AT281" s="10" t="s">
        <v>299</v>
      </c>
      <c r="AU281" s="9"/>
      <c r="AW281" s="12"/>
      <c r="AX281" s="11"/>
      <c r="AY281" s="9"/>
      <c r="AZ281" t="b">
        <v>0</v>
      </c>
      <c r="BA281" s="9"/>
      <c r="BB281" s="12"/>
      <c r="BC281" s="11"/>
      <c r="BD281" s="9" t="s">
        <v>325</v>
      </c>
      <c r="BE281" s="9" t="s">
        <v>301</v>
      </c>
      <c r="BF281" s="9" t="s">
        <v>1111</v>
      </c>
      <c r="BG281" s="9" t="s">
        <v>749</v>
      </c>
      <c r="BH281" s="9" t="s">
        <v>304</v>
      </c>
      <c r="BI281" s="9" t="s">
        <v>3135</v>
      </c>
      <c r="BJ281" s="9" t="s">
        <v>3136</v>
      </c>
      <c r="BK281" s="11">
        <v>400</v>
      </c>
      <c r="BL281" s="16" t="s">
        <v>299</v>
      </c>
      <c r="BM281" s="10"/>
      <c r="BN281" s="10"/>
      <c r="BO281" s="10"/>
      <c r="BP281" s="16"/>
      <c r="BQ281" s="16"/>
      <c r="BR281" s="9"/>
      <c r="BS281" s="9"/>
      <c r="BT281" s="9"/>
      <c r="BU281" s="9"/>
      <c r="BV281" s="9"/>
      <c r="BW281" s="10"/>
      <c r="BX281" s="15" t="s">
        <v>3596</v>
      </c>
      <c r="BY281" s="10">
        <v>45057</v>
      </c>
      <c r="BZ281" s="10">
        <v>52343</v>
      </c>
      <c r="CA281" s="10">
        <v>45544</v>
      </c>
      <c r="CC281" s="9" t="s">
        <v>308</v>
      </c>
      <c r="CD281" s="9" t="s">
        <v>309</v>
      </c>
    </row>
    <row r="282" spans="1:82" ht="29.1">
      <c r="A282" s="8">
        <v>18524</v>
      </c>
      <c r="B282" s="9" t="s">
        <v>3597</v>
      </c>
      <c r="C282" s="9" t="s">
        <v>3517</v>
      </c>
      <c r="D282" s="10">
        <v>45049</v>
      </c>
      <c r="E282" s="9" t="s">
        <v>3598</v>
      </c>
      <c r="F282" s="9" t="s">
        <v>3599</v>
      </c>
      <c r="G282" s="9" t="s">
        <v>3600</v>
      </c>
      <c r="H282" s="9" t="s">
        <v>281</v>
      </c>
      <c r="I282" s="9" t="s">
        <v>282</v>
      </c>
      <c r="J282" s="9" t="s">
        <v>283</v>
      </c>
      <c r="K282" s="9" t="s">
        <v>1696</v>
      </c>
      <c r="L282" s="9" t="s">
        <v>3601</v>
      </c>
      <c r="M282" s="9" t="s">
        <v>3602</v>
      </c>
      <c r="N282" s="8">
        <v>1</v>
      </c>
      <c r="O282" s="9" t="s">
        <v>3603</v>
      </c>
      <c r="P282" s="11">
        <v>98.174999999999997</v>
      </c>
      <c r="Q282" s="11">
        <v>110</v>
      </c>
      <c r="R282" s="11">
        <v>90</v>
      </c>
      <c r="S282" s="11">
        <v>1314.59</v>
      </c>
      <c r="T282" s="11">
        <v>129059.87325</v>
      </c>
      <c r="U282" s="12">
        <v>0.05</v>
      </c>
      <c r="V282" s="12"/>
      <c r="W282" s="11"/>
      <c r="X282" s="9" t="s">
        <v>288</v>
      </c>
      <c r="Y282" s="10">
        <v>44181</v>
      </c>
      <c r="Z282" s="13">
        <v>9.8699999999999996E-2</v>
      </c>
      <c r="AC282" s="9" t="s">
        <v>289</v>
      </c>
      <c r="AD282" s="9" t="s">
        <v>290</v>
      </c>
      <c r="AE282" s="8">
        <v>476.42975999999999</v>
      </c>
      <c r="AF282" s="14">
        <v>45.186590000000002</v>
      </c>
      <c r="AG282" s="14">
        <v>-0.62458000000000002</v>
      </c>
      <c r="AH282" s="9" t="s">
        <v>3129</v>
      </c>
      <c r="AI282" s="15" t="s">
        <v>319</v>
      </c>
      <c r="AJ282" s="9" t="s">
        <v>293</v>
      </c>
      <c r="AK282" s="9" t="s">
        <v>3604</v>
      </c>
      <c r="AL282" s="9" t="s">
        <v>3605</v>
      </c>
      <c r="AM282" s="9"/>
      <c r="AN282" s="9" t="s">
        <v>3606</v>
      </c>
      <c r="AO282" s="9"/>
      <c r="AP282" s="9" t="s">
        <v>2946</v>
      </c>
      <c r="AQ282" s="9" t="s">
        <v>3134</v>
      </c>
      <c r="AR282" t="b">
        <v>0</v>
      </c>
      <c r="AS282" s="10"/>
      <c r="AT282" s="10" t="s">
        <v>299</v>
      </c>
      <c r="AU282" s="9"/>
      <c r="AW282" s="12"/>
      <c r="AX282" s="11"/>
      <c r="AY282" s="9"/>
      <c r="AZ282" t="b">
        <v>0</v>
      </c>
      <c r="BA282" s="9"/>
      <c r="BB282" s="12"/>
      <c r="BC282" s="11"/>
      <c r="BD282" s="9" t="s">
        <v>325</v>
      </c>
      <c r="BE282" s="9" t="s">
        <v>47</v>
      </c>
      <c r="BF282" s="9" t="s">
        <v>980</v>
      </c>
      <c r="BG282" s="9" t="s">
        <v>749</v>
      </c>
      <c r="BH282" s="9" t="s">
        <v>304</v>
      </c>
      <c r="BI282" s="9" t="s">
        <v>3527</v>
      </c>
      <c r="BJ282" s="9" t="s">
        <v>3528</v>
      </c>
      <c r="BK282" s="11">
        <v>400</v>
      </c>
      <c r="BL282" s="16" t="s">
        <v>299</v>
      </c>
      <c r="BM282" s="10"/>
      <c r="BN282" s="10"/>
      <c r="BO282" s="10"/>
      <c r="BP282" s="16"/>
      <c r="BQ282" s="16"/>
      <c r="BR282" s="9"/>
      <c r="BS282" s="9"/>
      <c r="BT282" s="9"/>
      <c r="BU282" s="9"/>
      <c r="BV282" s="9"/>
      <c r="BW282" s="10"/>
      <c r="BX282" s="15" t="s">
        <v>3607</v>
      </c>
      <c r="BY282" s="10">
        <v>45049</v>
      </c>
      <c r="BZ282" s="10">
        <v>51519</v>
      </c>
      <c r="CA282" s="10">
        <v>45678</v>
      </c>
      <c r="CC282" s="9" t="s">
        <v>308</v>
      </c>
      <c r="CD282" s="9" t="s">
        <v>309</v>
      </c>
    </row>
    <row r="283" spans="1:82" ht="87">
      <c r="A283" s="8">
        <v>79212</v>
      </c>
      <c r="B283" s="9" t="s">
        <v>3608</v>
      </c>
      <c r="C283" s="9" t="s">
        <v>3609</v>
      </c>
      <c r="D283" s="10">
        <v>45043</v>
      </c>
      <c r="E283" s="9" t="s">
        <v>3610</v>
      </c>
      <c r="F283" s="9" t="s">
        <v>2438</v>
      </c>
      <c r="G283" s="9" t="s">
        <v>3611</v>
      </c>
      <c r="H283" s="9" t="s">
        <v>315</v>
      </c>
      <c r="I283" s="9" t="s">
        <v>282</v>
      </c>
      <c r="J283" s="9" t="s">
        <v>283</v>
      </c>
      <c r="K283" s="9" t="s">
        <v>284</v>
      </c>
      <c r="L283" s="9" t="s">
        <v>3612</v>
      </c>
      <c r="M283" s="9" t="s">
        <v>3613</v>
      </c>
      <c r="N283" s="8">
        <v>1</v>
      </c>
      <c r="O283" s="9" t="s">
        <v>3614</v>
      </c>
      <c r="P283" s="11">
        <v>324.8</v>
      </c>
      <c r="Q283" s="11">
        <v>264</v>
      </c>
      <c r="R283" s="11">
        <v>249</v>
      </c>
      <c r="S283" s="11">
        <v>1122</v>
      </c>
      <c r="T283" s="11">
        <v>364425.6</v>
      </c>
      <c r="U283" s="12">
        <v>0.05</v>
      </c>
      <c r="V283" s="12"/>
      <c r="W283" s="11"/>
      <c r="X283" s="9" t="s">
        <v>288</v>
      </c>
      <c r="Y283" s="10">
        <v>44827</v>
      </c>
      <c r="Z283" s="13">
        <v>0.11070000000000001</v>
      </c>
      <c r="AC283" s="9" t="s">
        <v>289</v>
      </c>
      <c r="AD283" s="9" t="s">
        <v>290</v>
      </c>
      <c r="AE283" s="8">
        <v>1560.9760000000001</v>
      </c>
      <c r="AF283" s="14">
        <v>45.88158</v>
      </c>
      <c r="AG283" s="14">
        <v>-0.81752000000000002</v>
      </c>
      <c r="AH283" s="9" t="s">
        <v>3129</v>
      </c>
      <c r="AI283" s="15" t="s">
        <v>3615</v>
      </c>
      <c r="AJ283" s="9" t="s">
        <v>293</v>
      </c>
      <c r="AK283" s="9" t="s">
        <v>3616</v>
      </c>
      <c r="AL283" s="9" t="s">
        <v>3617</v>
      </c>
      <c r="AM283" s="9"/>
      <c r="AN283" s="9" t="s">
        <v>3618</v>
      </c>
      <c r="AO283" s="9"/>
      <c r="AP283" s="9" t="s">
        <v>3619</v>
      </c>
      <c r="AQ283" s="9" t="s">
        <v>3178</v>
      </c>
      <c r="AR283" t="b">
        <v>1</v>
      </c>
      <c r="AS283" s="10">
        <v>45409</v>
      </c>
      <c r="AT283" s="10">
        <v>45774</v>
      </c>
      <c r="AU283" s="9" t="s">
        <v>1139</v>
      </c>
      <c r="AW283" s="12"/>
      <c r="AX283" s="11">
        <v>4100</v>
      </c>
      <c r="AY283" s="9" t="s">
        <v>471</v>
      </c>
      <c r="AZ283" t="b">
        <v>1</v>
      </c>
      <c r="BA283" s="9" t="s">
        <v>242</v>
      </c>
      <c r="BB283" s="12">
        <v>0.1</v>
      </c>
      <c r="BC283" s="11"/>
      <c r="BD283" s="9" t="s">
        <v>325</v>
      </c>
      <c r="BE283" s="9" t="s">
        <v>86</v>
      </c>
      <c r="BF283" s="9" t="s">
        <v>402</v>
      </c>
      <c r="BG283" s="9" t="s">
        <v>749</v>
      </c>
      <c r="BH283" s="9" t="s">
        <v>304</v>
      </c>
      <c r="BI283" s="9" t="s">
        <v>3620</v>
      </c>
      <c r="BJ283" s="9" t="s">
        <v>3621</v>
      </c>
      <c r="BK283" s="11">
        <v>400</v>
      </c>
      <c r="BL283" s="16" t="s">
        <v>299</v>
      </c>
      <c r="BM283" s="10"/>
      <c r="BN283" s="10"/>
      <c r="BO283" s="10"/>
      <c r="BP283" s="16"/>
      <c r="BQ283" s="16"/>
      <c r="BR283" s="9" t="s">
        <v>3622</v>
      </c>
      <c r="BS283" s="9" t="s">
        <v>3623</v>
      </c>
      <c r="BT283" s="9" t="s">
        <v>3624</v>
      </c>
      <c r="BU283" s="9" t="s">
        <v>2438</v>
      </c>
      <c r="BV283" s="9" t="s">
        <v>3625</v>
      </c>
      <c r="BW283" s="10"/>
      <c r="BX283" s="15" t="s">
        <v>1595</v>
      </c>
      <c r="BY283" s="10">
        <v>45043</v>
      </c>
      <c r="BZ283" s="10">
        <v>52347</v>
      </c>
      <c r="CA283" s="10">
        <v>45468</v>
      </c>
      <c r="CC283" s="9" t="s">
        <v>308</v>
      </c>
      <c r="CD283" s="9" t="s">
        <v>309</v>
      </c>
    </row>
    <row r="284" spans="1:82">
      <c r="A284" s="8">
        <v>11360</v>
      </c>
      <c r="B284" s="9" t="s">
        <v>3059</v>
      </c>
      <c r="C284" s="9" t="s">
        <v>3487</v>
      </c>
      <c r="D284" s="10">
        <v>45042</v>
      </c>
      <c r="E284" s="9" t="s">
        <v>3626</v>
      </c>
      <c r="F284" s="9" t="s">
        <v>2764</v>
      </c>
      <c r="G284" s="9" t="s">
        <v>3049</v>
      </c>
      <c r="H284" s="9" t="s">
        <v>315</v>
      </c>
      <c r="I284" s="9" t="s">
        <v>282</v>
      </c>
      <c r="J284" s="9" t="s">
        <v>283</v>
      </c>
      <c r="K284" s="9" t="s">
        <v>1696</v>
      </c>
      <c r="L284" s="9" t="s">
        <v>3627</v>
      </c>
      <c r="M284" s="9" t="s">
        <v>3628</v>
      </c>
      <c r="N284" s="8">
        <v>1</v>
      </c>
      <c r="O284" s="9" t="s">
        <v>3629</v>
      </c>
      <c r="P284" s="11">
        <v>99.94</v>
      </c>
      <c r="Q284" s="11">
        <v>121</v>
      </c>
      <c r="R284" s="11">
        <v>100</v>
      </c>
      <c r="S284" s="11">
        <v>1308.78</v>
      </c>
      <c r="T284" s="11">
        <v>130799.47319999999</v>
      </c>
      <c r="U284" s="12">
        <v>0.05</v>
      </c>
      <c r="V284" s="12"/>
      <c r="W284" s="11"/>
      <c r="X284" s="9" t="s">
        <v>288</v>
      </c>
      <c r="Y284" s="10">
        <v>43768</v>
      </c>
      <c r="Z284" s="13">
        <v>9.4700000000000006E-2</v>
      </c>
      <c r="AC284" s="9" t="s">
        <v>289</v>
      </c>
      <c r="AD284" s="9" t="s">
        <v>290</v>
      </c>
      <c r="AE284" s="8">
        <v>491.37657999999999</v>
      </c>
      <c r="AF284" s="14">
        <v>44.145850000000003</v>
      </c>
      <c r="AG284" s="14">
        <v>6.3003299999999998</v>
      </c>
      <c r="AH284" s="9" t="s">
        <v>3129</v>
      </c>
      <c r="AI284" s="15" t="s">
        <v>319</v>
      </c>
      <c r="AJ284" s="9" t="s">
        <v>293</v>
      </c>
      <c r="AK284" s="9" t="s">
        <v>3630</v>
      </c>
      <c r="AL284" s="9" t="s">
        <v>3064</v>
      </c>
      <c r="AM284" s="9"/>
      <c r="AN284" s="9" t="s">
        <v>3631</v>
      </c>
      <c r="AO284" s="9"/>
      <c r="AP284" s="9" t="s">
        <v>2946</v>
      </c>
      <c r="AQ284" s="9" t="s">
        <v>3178</v>
      </c>
      <c r="AR284" t="b">
        <v>0</v>
      </c>
      <c r="AS284" s="10"/>
      <c r="AT284" s="10" t="s">
        <v>299</v>
      </c>
      <c r="AU284" s="9"/>
      <c r="AW284" s="12"/>
      <c r="AX284" s="11"/>
      <c r="AY284" s="9"/>
      <c r="AZ284" t="b">
        <v>0</v>
      </c>
      <c r="BA284" s="9"/>
      <c r="BB284" s="12"/>
      <c r="BC284" s="11"/>
      <c r="BD284" s="9" t="s">
        <v>300</v>
      </c>
      <c r="BE284" s="9" t="s">
        <v>301</v>
      </c>
      <c r="BF284" s="9" t="s">
        <v>356</v>
      </c>
      <c r="BG284" s="9" t="s">
        <v>967</v>
      </c>
      <c r="BH284" s="9" t="s">
        <v>304</v>
      </c>
      <c r="BI284" s="9" t="s">
        <v>3499</v>
      </c>
      <c r="BJ284" s="9" t="s">
        <v>3500</v>
      </c>
      <c r="BK284" s="11">
        <v>400</v>
      </c>
      <c r="BL284" s="16" t="s">
        <v>299</v>
      </c>
      <c r="BM284" s="10"/>
      <c r="BN284" s="10"/>
      <c r="BO284" s="10"/>
      <c r="BP284" s="16"/>
      <c r="BQ284" s="16"/>
      <c r="BR284" s="9"/>
      <c r="BS284" s="9"/>
      <c r="BT284" s="9"/>
      <c r="BU284" s="9"/>
      <c r="BV284" s="9"/>
      <c r="BW284" s="10"/>
      <c r="BX284" s="15" t="s">
        <v>2395</v>
      </c>
      <c r="BY284" s="10">
        <v>45042</v>
      </c>
      <c r="BZ284" s="10">
        <v>52346</v>
      </c>
      <c r="CA284" s="10">
        <v>45630</v>
      </c>
      <c r="CC284" s="9" t="s">
        <v>308</v>
      </c>
      <c r="CD284" s="9" t="s">
        <v>309</v>
      </c>
    </row>
    <row r="285" spans="1:82">
      <c r="A285" s="8">
        <v>17995</v>
      </c>
      <c r="B285" s="9" t="s">
        <v>3632</v>
      </c>
      <c r="C285" s="9" t="s">
        <v>3517</v>
      </c>
      <c r="D285" s="10">
        <v>45042</v>
      </c>
      <c r="E285" s="9" t="s">
        <v>3633</v>
      </c>
      <c r="F285" s="9" t="s">
        <v>3634</v>
      </c>
      <c r="G285" s="9" t="s">
        <v>3635</v>
      </c>
      <c r="H285" s="9" t="s">
        <v>281</v>
      </c>
      <c r="I285" s="9" t="s">
        <v>282</v>
      </c>
      <c r="J285" s="9" t="s">
        <v>283</v>
      </c>
      <c r="K285" s="9" t="s">
        <v>1696</v>
      </c>
      <c r="L285" s="9" t="s">
        <v>3636</v>
      </c>
      <c r="M285" s="9" t="s">
        <v>3637</v>
      </c>
      <c r="N285" s="8">
        <v>1</v>
      </c>
      <c r="O285" s="9" t="s">
        <v>3638</v>
      </c>
      <c r="P285" s="11">
        <v>98.174999999999997</v>
      </c>
      <c r="Q285" s="11">
        <v>121</v>
      </c>
      <c r="R285" s="11">
        <v>90</v>
      </c>
      <c r="S285" s="11">
        <v>1442.63</v>
      </c>
      <c r="T285" s="11">
        <v>141630.20024999999</v>
      </c>
      <c r="U285" s="12">
        <v>0.05</v>
      </c>
      <c r="V285" s="12"/>
      <c r="W285" s="11"/>
      <c r="X285" s="9" t="s">
        <v>288</v>
      </c>
      <c r="Y285" s="10">
        <v>44274</v>
      </c>
      <c r="Z285" s="13">
        <v>9.74E-2</v>
      </c>
      <c r="AC285" s="9" t="s">
        <v>289</v>
      </c>
      <c r="AD285" s="9" t="s">
        <v>290</v>
      </c>
      <c r="AE285" s="8">
        <v>475.89323999999999</v>
      </c>
      <c r="AF285" s="14">
        <v>43.964790000000001</v>
      </c>
      <c r="AG285" s="14">
        <v>6.2199200000000001</v>
      </c>
      <c r="AH285" s="9" t="s">
        <v>3129</v>
      </c>
      <c r="AI285" s="15" t="s">
        <v>319</v>
      </c>
      <c r="AJ285" s="9" t="s">
        <v>293</v>
      </c>
      <c r="AK285" s="9" t="s">
        <v>3639</v>
      </c>
      <c r="AL285" s="9" t="s">
        <v>3640</v>
      </c>
      <c r="AM285" s="9"/>
      <c r="AN285" s="9" t="s">
        <v>3641</v>
      </c>
      <c r="AO285" s="9"/>
      <c r="AP285" s="9" t="s">
        <v>2186</v>
      </c>
      <c r="AQ285" s="9" t="s">
        <v>3134</v>
      </c>
      <c r="AR285" t="b">
        <v>0</v>
      </c>
      <c r="AS285" s="10"/>
      <c r="AT285" s="10" t="s">
        <v>299</v>
      </c>
      <c r="AU285" s="9"/>
      <c r="AW285" s="12"/>
      <c r="AX285" s="11"/>
      <c r="AY285" s="9"/>
      <c r="AZ285" t="b">
        <v>0</v>
      </c>
      <c r="BA285" s="9"/>
      <c r="BB285" s="12"/>
      <c r="BC285" s="11"/>
      <c r="BD285" s="9" t="s">
        <v>300</v>
      </c>
      <c r="BE285" s="9" t="s">
        <v>47</v>
      </c>
      <c r="BF285" s="9" t="s">
        <v>980</v>
      </c>
      <c r="BG285" s="9" t="s">
        <v>967</v>
      </c>
      <c r="BH285" s="9" t="s">
        <v>304</v>
      </c>
      <c r="BI285" s="9" t="s">
        <v>3527</v>
      </c>
      <c r="BJ285" s="9" t="s">
        <v>3528</v>
      </c>
      <c r="BK285" s="11">
        <v>400</v>
      </c>
      <c r="BL285" s="16" t="s">
        <v>299</v>
      </c>
      <c r="BM285" s="10"/>
      <c r="BN285" s="10"/>
      <c r="BO285" s="10"/>
      <c r="BP285" s="16"/>
      <c r="BQ285" s="16"/>
      <c r="BR285" s="9"/>
      <c r="BS285" s="9"/>
      <c r="BT285" s="9"/>
      <c r="BU285" s="9"/>
      <c r="BV285" s="9"/>
      <c r="BW285" s="10"/>
      <c r="BX285" s="15" t="s">
        <v>3642</v>
      </c>
      <c r="BY285" s="10">
        <v>45042</v>
      </c>
      <c r="BZ285" s="10">
        <v>51941</v>
      </c>
      <c r="CA285" s="10">
        <v>45442</v>
      </c>
      <c r="CC285" s="9" t="s">
        <v>308</v>
      </c>
      <c r="CD285" s="9" t="s">
        <v>309</v>
      </c>
    </row>
    <row r="286" spans="1:82">
      <c r="A286" s="8">
        <v>79215</v>
      </c>
      <c r="B286" s="9" t="s">
        <v>3643</v>
      </c>
      <c r="C286" s="9" t="s">
        <v>3609</v>
      </c>
      <c r="D286" s="10">
        <v>45042</v>
      </c>
      <c r="E286" s="9" t="s">
        <v>3644</v>
      </c>
      <c r="F286" s="9" t="s">
        <v>1146</v>
      </c>
      <c r="G286" s="9" t="s">
        <v>3645</v>
      </c>
      <c r="H286" s="9" t="s">
        <v>315</v>
      </c>
      <c r="I286" s="9" t="s">
        <v>282</v>
      </c>
      <c r="J286" s="9" t="s">
        <v>283</v>
      </c>
      <c r="K286" s="9" t="s">
        <v>284</v>
      </c>
      <c r="L286" s="9" t="s">
        <v>3646</v>
      </c>
      <c r="M286" s="9" t="s">
        <v>3647</v>
      </c>
      <c r="N286" s="8">
        <v>1</v>
      </c>
      <c r="O286" s="9" t="s">
        <v>3648</v>
      </c>
      <c r="P286" s="11">
        <v>295</v>
      </c>
      <c r="Q286" s="11">
        <v>236</v>
      </c>
      <c r="R286" s="11">
        <v>236</v>
      </c>
      <c r="S286" s="11">
        <v>1124.31</v>
      </c>
      <c r="T286" s="11">
        <v>331671.45</v>
      </c>
      <c r="U286" s="12">
        <v>0.05</v>
      </c>
      <c r="V286" s="12"/>
      <c r="W286" s="11"/>
      <c r="X286" s="9" t="s">
        <v>288</v>
      </c>
      <c r="Y286" s="10">
        <v>44490</v>
      </c>
      <c r="Z286" s="13">
        <v>0.11070000000000001</v>
      </c>
      <c r="AB286" t="b">
        <v>1</v>
      </c>
      <c r="AC286" s="9" t="s">
        <v>289</v>
      </c>
      <c r="AD286" s="9" t="s">
        <v>290</v>
      </c>
      <c r="AE286" s="8">
        <v>1408</v>
      </c>
      <c r="AF286" s="14">
        <v>45.498779999999996</v>
      </c>
      <c r="AG286" s="14">
        <v>-0.62451000000000001</v>
      </c>
      <c r="AH286" s="9" t="s">
        <v>3129</v>
      </c>
      <c r="AI286" s="15" t="s">
        <v>319</v>
      </c>
      <c r="AJ286" s="9" t="s">
        <v>293</v>
      </c>
      <c r="AK286" s="9" t="s">
        <v>3649</v>
      </c>
      <c r="AL286" s="9" t="s">
        <v>3650</v>
      </c>
      <c r="AM286" s="9"/>
      <c r="AN286" s="9" t="s">
        <v>3651</v>
      </c>
      <c r="AO286" s="9" t="s">
        <v>3651</v>
      </c>
      <c r="AP286" s="9" t="s">
        <v>3619</v>
      </c>
      <c r="AQ286" s="9" t="s">
        <v>3178</v>
      </c>
      <c r="AR286" t="b">
        <v>1</v>
      </c>
      <c r="AS286" s="10">
        <v>45408</v>
      </c>
      <c r="AT286" s="10">
        <v>45773</v>
      </c>
      <c r="AU286" s="9" t="s">
        <v>1139</v>
      </c>
      <c r="AW286" s="12"/>
      <c r="AX286" s="11">
        <v>5200</v>
      </c>
      <c r="AY286" s="9" t="s">
        <v>471</v>
      </c>
      <c r="AZ286" t="b">
        <v>1</v>
      </c>
      <c r="BA286" s="9" t="s">
        <v>242</v>
      </c>
      <c r="BB286" s="12">
        <v>0.1</v>
      </c>
      <c r="BC286" s="11"/>
      <c r="BD286" s="9" t="s">
        <v>325</v>
      </c>
      <c r="BE286" s="9" t="s">
        <v>86</v>
      </c>
      <c r="BF286" s="9" t="s">
        <v>402</v>
      </c>
      <c r="BG286" s="9" t="s">
        <v>749</v>
      </c>
      <c r="BH286" s="9" t="s">
        <v>304</v>
      </c>
      <c r="BI286" s="9" t="s">
        <v>3620</v>
      </c>
      <c r="BJ286" s="9" t="s">
        <v>3621</v>
      </c>
      <c r="BK286" s="11">
        <v>400</v>
      </c>
      <c r="BL286" s="16" t="s">
        <v>299</v>
      </c>
      <c r="BM286" s="10"/>
      <c r="BN286" s="10"/>
      <c r="BO286" s="10"/>
      <c r="BP286" s="16"/>
      <c r="BQ286" s="16"/>
      <c r="BR286" s="9" t="s">
        <v>3652</v>
      </c>
      <c r="BS286" s="9" t="s">
        <v>3644</v>
      </c>
      <c r="BT286" s="9" t="s">
        <v>3645</v>
      </c>
      <c r="BU286" s="9" t="s">
        <v>1146</v>
      </c>
      <c r="BV286" s="9"/>
      <c r="BW286" s="10"/>
      <c r="BX286" s="15" t="s">
        <v>3653</v>
      </c>
      <c r="BY286" s="10">
        <v>45042</v>
      </c>
      <c r="BZ286" s="10">
        <v>52346</v>
      </c>
      <c r="CA286" s="10"/>
      <c r="CC286" s="9" t="s">
        <v>308</v>
      </c>
      <c r="CD286" s="9" t="s">
        <v>309</v>
      </c>
    </row>
    <row r="287" spans="1:82">
      <c r="A287" s="8">
        <v>30267</v>
      </c>
      <c r="B287" s="9" t="s">
        <v>3654</v>
      </c>
      <c r="C287" s="9" t="s">
        <v>3122</v>
      </c>
      <c r="D287" s="10">
        <v>45041</v>
      </c>
      <c r="E287" s="9" t="s">
        <v>3655</v>
      </c>
      <c r="F287" s="9" t="s">
        <v>3656</v>
      </c>
      <c r="G287" s="9" t="s">
        <v>3657</v>
      </c>
      <c r="H287" s="9" t="s">
        <v>281</v>
      </c>
      <c r="I287" s="9" t="s">
        <v>282</v>
      </c>
      <c r="J287" s="9" t="s">
        <v>283</v>
      </c>
      <c r="K287" s="9" t="s">
        <v>1696</v>
      </c>
      <c r="L287" s="9" t="s">
        <v>3658</v>
      </c>
      <c r="M287" s="9" t="s">
        <v>3659</v>
      </c>
      <c r="N287" s="8">
        <v>1</v>
      </c>
      <c r="O287" s="9" t="s">
        <v>3660</v>
      </c>
      <c r="P287" s="11">
        <v>98.174999999999997</v>
      </c>
      <c r="Q287" s="11">
        <v>121</v>
      </c>
      <c r="R287" s="11">
        <v>90</v>
      </c>
      <c r="S287" s="11">
        <v>1225.26</v>
      </c>
      <c r="T287" s="11">
        <v>120289.9005</v>
      </c>
      <c r="U287" s="12">
        <v>5.6000000000000001E-2</v>
      </c>
      <c r="V287" s="12"/>
      <c r="W287" s="11"/>
      <c r="X287" s="9" t="s">
        <v>288</v>
      </c>
      <c r="Y287" s="10">
        <v>44349</v>
      </c>
      <c r="Z287" s="13">
        <v>9.5200000000000007E-2</v>
      </c>
      <c r="AC287" s="9" t="s">
        <v>289</v>
      </c>
      <c r="AD287" s="9" t="s">
        <v>290</v>
      </c>
      <c r="AE287" s="8">
        <v>475.89323999999999</v>
      </c>
      <c r="AF287" s="14">
        <v>45.250579999999999</v>
      </c>
      <c r="AG287" s="14">
        <v>2.1125799999999999</v>
      </c>
      <c r="AH287" s="9" t="s">
        <v>3129</v>
      </c>
      <c r="AI287" s="15" t="s">
        <v>3523</v>
      </c>
      <c r="AJ287" s="9" t="s">
        <v>293</v>
      </c>
      <c r="AK287" s="9" t="s">
        <v>3661</v>
      </c>
      <c r="AL287" s="9" t="s">
        <v>3662</v>
      </c>
      <c r="AM287" s="9"/>
      <c r="AN287" s="9" t="s">
        <v>3663</v>
      </c>
      <c r="AO287" s="9"/>
      <c r="AP287" s="9" t="s">
        <v>3133</v>
      </c>
      <c r="AQ287" s="9" t="s">
        <v>3134</v>
      </c>
      <c r="AR287" t="b">
        <v>0</v>
      </c>
      <c r="AS287" s="10"/>
      <c r="AT287" s="10" t="s">
        <v>299</v>
      </c>
      <c r="AU287" s="9"/>
      <c r="AW287" s="12"/>
      <c r="AX287" s="11"/>
      <c r="AY287" s="9"/>
      <c r="AZ287" t="b">
        <v>0</v>
      </c>
      <c r="BA287" s="9"/>
      <c r="BB287" s="12"/>
      <c r="BC287" s="11"/>
      <c r="BD287" s="9" t="s">
        <v>325</v>
      </c>
      <c r="BE287" s="9" t="s">
        <v>301</v>
      </c>
      <c r="BF287" s="9" t="s">
        <v>402</v>
      </c>
      <c r="BG287" s="9" t="s">
        <v>749</v>
      </c>
      <c r="BH287" s="9" t="s">
        <v>304</v>
      </c>
      <c r="BI287" s="9" t="s">
        <v>3135</v>
      </c>
      <c r="BJ287" s="9" t="s">
        <v>3136</v>
      </c>
      <c r="BK287" s="11">
        <v>400</v>
      </c>
      <c r="BL287" s="16" t="s">
        <v>299</v>
      </c>
      <c r="BM287" s="10"/>
      <c r="BN287" s="10"/>
      <c r="BO287" s="10"/>
      <c r="BP287" s="16"/>
      <c r="BQ287" s="16"/>
      <c r="BR287" s="9"/>
      <c r="BS287" s="9"/>
      <c r="BT287" s="9"/>
      <c r="BU287" s="9"/>
      <c r="BV287" s="9"/>
      <c r="BW287" s="10"/>
      <c r="BX287" s="15" t="s">
        <v>3664</v>
      </c>
      <c r="BY287" s="10">
        <v>45041</v>
      </c>
      <c r="BZ287" s="10">
        <v>51973</v>
      </c>
      <c r="CA287" s="10">
        <v>45544</v>
      </c>
      <c r="CC287" s="9" t="s">
        <v>308</v>
      </c>
      <c r="CD287" s="9" t="s">
        <v>309</v>
      </c>
    </row>
    <row r="288" spans="1:82">
      <c r="A288" s="8">
        <v>17735</v>
      </c>
      <c r="B288" s="9" t="s">
        <v>3665</v>
      </c>
      <c r="C288" s="9" t="s">
        <v>3517</v>
      </c>
      <c r="D288" s="10">
        <v>45040</v>
      </c>
      <c r="E288" s="9" t="s">
        <v>3666</v>
      </c>
      <c r="F288" s="9" t="s">
        <v>3667</v>
      </c>
      <c r="G288" s="9" t="s">
        <v>3668</v>
      </c>
      <c r="H288" s="9" t="s">
        <v>281</v>
      </c>
      <c r="I288" s="9" t="s">
        <v>282</v>
      </c>
      <c r="J288" s="9" t="s">
        <v>283</v>
      </c>
      <c r="K288" s="9" t="s">
        <v>1696</v>
      </c>
      <c r="L288" s="9" t="s">
        <v>3669</v>
      </c>
      <c r="M288" s="9" t="s">
        <v>3670</v>
      </c>
      <c r="N288" s="8">
        <v>1</v>
      </c>
      <c r="O288" s="9" t="s">
        <v>3671</v>
      </c>
      <c r="P288" s="11">
        <v>99.94</v>
      </c>
      <c r="Q288" s="11">
        <v>110</v>
      </c>
      <c r="R288" s="11">
        <v>90</v>
      </c>
      <c r="S288" s="11">
        <v>1384.4</v>
      </c>
      <c r="T288" s="11">
        <v>138356.93599999999</v>
      </c>
      <c r="U288" s="12">
        <v>0.05</v>
      </c>
      <c r="V288" s="12"/>
      <c r="W288" s="11"/>
      <c r="X288" s="9" t="s">
        <v>288</v>
      </c>
      <c r="Y288" s="10">
        <v>44239</v>
      </c>
      <c r="Z288" s="13">
        <v>9.74E-2</v>
      </c>
      <c r="AC288" s="9" t="s">
        <v>289</v>
      </c>
      <c r="AD288" s="9" t="s">
        <v>290</v>
      </c>
      <c r="AE288" s="8">
        <v>491.37657999999999</v>
      </c>
      <c r="AF288" s="14">
        <v>44.638979999999997</v>
      </c>
      <c r="AG288" s="14">
        <v>4.6457600000000001</v>
      </c>
      <c r="AH288" s="9" t="s">
        <v>3129</v>
      </c>
      <c r="AI288" s="15" t="s">
        <v>319</v>
      </c>
      <c r="AJ288" s="9" t="s">
        <v>293</v>
      </c>
      <c r="AK288" s="9" t="s">
        <v>3672</v>
      </c>
      <c r="AL288" s="9" t="s">
        <v>3673</v>
      </c>
      <c r="AM288" s="9"/>
      <c r="AN288" s="9" t="s">
        <v>3674</v>
      </c>
      <c r="AO288" s="9"/>
      <c r="AP288" s="9" t="s">
        <v>3133</v>
      </c>
      <c r="AQ288" s="9" t="s">
        <v>3512</v>
      </c>
      <c r="AR288" t="b">
        <v>0</v>
      </c>
      <c r="AS288" s="10"/>
      <c r="AT288" s="10" t="s">
        <v>299</v>
      </c>
      <c r="AU288" s="9"/>
      <c r="AW288" s="12"/>
      <c r="AX288" s="11"/>
      <c r="AY288" s="9"/>
      <c r="AZ288" t="b">
        <v>0</v>
      </c>
      <c r="BA288" s="9"/>
      <c r="BB288" s="12"/>
      <c r="BC288" s="11"/>
      <c r="BD288" s="9" t="s">
        <v>300</v>
      </c>
      <c r="BE288" s="9" t="s">
        <v>47</v>
      </c>
      <c r="BF288" s="9" t="s">
        <v>690</v>
      </c>
      <c r="BG288" s="9" t="s">
        <v>967</v>
      </c>
      <c r="BH288" s="9" t="s">
        <v>304</v>
      </c>
      <c r="BI288" s="9" t="s">
        <v>3527</v>
      </c>
      <c r="BJ288" s="9" t="s">
        <v>3528</v>
      </c>
      <c r="BK288" s="11">
        <v>400</v>
      </c>
      <c r="BL288" s="16" t="s">
        <v>299</v>
      </c>
      <c r="BM288" s="10"/>
      <c r="BN288" s="10"/>
      <c r="BO288" s="10"/>
      <c r="BP288" s="16"/>
      <c r="BQ288" s="16"/>
      <c r="BR288" s="9"/>
      <c r="BS288" s="9"/>
      <c r="BT288" s="9"/>
      <c r="BU288" s="9"/>
      <c r="BV288" s="9"/>
      <c r="BW288" s="10"/>
      <c r="BX288" s="15" t="s">
        <v>3675</v>
      </c>
      <c r="BY288" s="10">
        <v>45040</v>
      </c>
      <c r="BZ288" s="10">
        <v>51774</v>
      </c>
      <c r="CA288" s="10">
        <v>45554</v>
      </c>
      <c r="CC288" s="9" t="s">
        <v>308</v>
      </c>
      <c r="CD288" s="9" t="s">
        <v>309</v>
      </c>
    </row>
    <row r="289" spans="1:82" ht="29.1">
      <c r="A289" s="8">
        <v>23180</v>
      </c>
      <c r="B289" s="9" t="s">
        <v>3676</v>
      </c>
      <c r="C289" s="9" t="s">
        <v>3122</v>
      </c>
      <c r="D289" s="10">
        <v>45040</v>
      </c>
      <c r="E289" s="9" t="s">
        <v>3677</v>
      </c>
      <c r="F289" s="9" t="s">
        <v>3678</v>
      </c>
      <c r="G289" s="9" t="s">
        <v>3679</v>
      </c>
      <c r="H289" s="9" t="s">
        <v>281</v>
      </c>
      <c r="I289" s="9" t="s">
        <v>282</v>
      </c>
      <c r="J289" s="9" t="s">
        <v>283</v>
      </c>
      <c r="K289" s="9" t="s">
        <v>1696</v>
      </c>
      <c r="L289" s="9" t="s">
        <v>3680</v>
      </c>
      <c r="M289" s="9" t="s">
        <v>3681</v>
      </c>
      <c r="N289" s="8">
        <v>1</v>
      </c>
      <c r="O289" s="9" t="s">
        <v>3682</v>
      </c>
      <c r="P289" s="11">
        <v>98.174999999999997</v>
      </c>
      <c r="Q289" s="11">
        <v>121</v>
      </c>
      <c r="R289" s="11">
        <v>90</v>
      </c>
      <c r="S289" s="11">
        <v>1447.28</v>
      </c>
      <c r="T289" s="11">
        <v>142086.71400000001</v>
      </c>
      <c r="U289" s="12">
        <v>0.05</v>
      </c>
      <c r="V289" s="12"/>
      <c r="W289" s="11"/>
      <c r="X289" s="9" t="s">
        <v>288</v>
      </c>
      <c r="Y289" s="10">
        <v>44460</v>
      </c>
      <c r="Z289" s="13">
        <v>9.4700000000000006E-2</v>
      </c>
      <c r="AC289" s="9" t="s">
        <v>289</v>
      </c>
      <c r="AD289" s="9" t="s">
        <v>290</v>
      </c>
      <c r="AE289" s="8">
        <v>475.89323999999999</v>
      </c>
      <c r="AF289" s="14">
        <v>42.501939999999998</v>
      </c>
      <c r="AG289" s="14">
        <v>2.7622100000000001</v>
      </c>
      <c r="AH289" s="9" t="s">
        <v>3129</v>
      </c>
      <c r="AI289" s="15" t="s">
        <v>319</v>
      </c>
      <c r="AJ289" s="9" t="s">
        <v>293</v>
      </c>
      <c r="AK289" s="9" t="s">
        <v>3683</v>
      </c>
      <c r="AL289" s="9" t="s">
        <v>3684</v>
      </c>
      <c r="AM289" s="9"/>
      <c r="AN289" s="9" t="s">
        <v>3685</v>
      </c>
      <c r="AO289" s="9"/>
      <c r="AP289" s="9" t="s">
        <v>3133</v>
      </c>
      <c r="AQ289" s="9" t="s">
        <v>3686</v>
      </c>
      <c r="AR289" t="b">
        <v>0</v>
      </c>
      <c r="AS289" s="10"/>
      <c r="AT289" s="10" t="s">
        <v>299</v>
      </c>
      <c r="AU289" s="9"/>
      <c r="AW289" s="12"/>
      <c r="AX289" s="11"/>
      <c r="AY289" s="9"/>
      <c r="AZ289" t="b">
        <v>0</v>
      </c>
      <c r="BA289" s="9"/>
      <c r="BB289" s="12"/>
      <c r="BC289" s="11"/>
      <c r="BD289" s="9" t="s">
        <v>325</v>
      </c>
      <c r="BE289" s="9" t="s">
        <v>301</v>
      </c>
      <c r="BF289" s="9" t="s">
        <v>980</v>
      </c>
      <c r="BG289" s="9" t="s">
        <v>738</v>
      </c>
      <c r="BH289" s="9" t="s">
        <v>304</v>
      </c>
      <c r="BI289" s="9" t="s">
        <v>3135</v>
      </c>
      <c r="BJ289" s="9" t="s">
        <v>3136</v>
      </c>
      <c r="BK289" s="11">
        <v>400</v>
      </c>
      <c r="BL289" s="16" t="s">
        <v>299</v>
      </c>
      <c r="BM289" s="10"/>
      <c r="BN289" s="10"/>
      <c r="BO289" s="10"/>
      <c r="BP289" s="16"/>
      <c r="BQ289" s="16"/>
      <c r="BR289" s="9"/>
      <c r="BS289" s="9"/>
      <c r="BT289" s="9"/>
      <c r="BU289" s="9"/>
      <c r="BV289" s="9"/>
      <c r="BW289" s="10"/>
      <c r="BX289" s="15" t="s">
        <v>3687</v>
      </c>
      <c r="BY289" s="10">
        <v>45040</v>
      </c>
      <c r="BZ289" s="10">
        <v>52296</v>
      </c>
      <c r="CA289" s="10">
        <v>45632</v>
      </c>
      <c r="CC289" s="9" t="s">
        <v>308</v>
      </c>
      <c r="CD289" s="9" t="s">
        <v>309</v>
      </c>
    </row>
    <row r="290" spans="1:82">
      <c r="A290" s="8">
        <v>13152</v>
      </c>
      <c r="B290" s="9" t="s">
        <v>3688</v>
      </c>
      <c r="C290" s="9" t="s">
        <v>3487</v>
      </c>
      <c r="D290" s="10">
        <v>45034</v>
      </c>
      <c r="E290" s="9" t="s">
        <v>3689</v>
      </c>
      <c r="F290" s="9" t="s">
        <v>3690</v>
      </c>
      <c r="G290" s="9" t="s">
        <v>3691</v>
      </c>
      <c r="H290" s="9" t="s">
        <v>281</v>
      </c>
      <c r="I290" s="9" t="s">
        <v>282</v>
      </c>
      <c r="J290" s="9" t="s">
        <v>283</v>
      </c>
      <c r="K290" s="9" t="s">
        <v>1696</v>
      </c>
      <c r="L290" s="9" t="s">
        <v>3692</v>
      </c>
      <c r="M290" s="9" t="s">
        <v>3693</v>
      </c>
      <c r="N290" s="8">
        <v>1</v>
      </c>
      <c r="O290" s="9" t="s">
        <v>3694</v>
      </c>
      <c r="P290" s="11">
        <v>99.63</v>
      </c>
      <c r="Q290" s="11">
        <v>110</v>
      </c>
      <c r="R290" s="11">
        <v>90</v>
      </c>
      <c r="S290" s="11">
        <v>1356.13</v>
      </c>
      <c r="T290" s="11">
        <v>135111.23190000001</v>
      </c>
      <c r="U290" s="12">
        <v>0.05</v>
      </c>
      <c r="V290" s="12"/>
      <c r="W290" s="11"/>
      <c r="X290" s="9" t="s">
        <v>288</v>
      </c>
      <c r="Y290" s="10">
        <v>44152</v>
      </c>
      <c r="Z290" s="13">
        <v>9.8699999999999996E-2</v>
      </c>
      <c r="AC290" s="9" t="s">
        <v>289</v>
      </c>
      <c r="AD290" s="9" t="s">
        <v>290</v>
      </c>
      <c r="AE290" s="8">
        <v>472.90645999999998</v>
      </c>
      <c r="AF290" s="14">
        <v>45.033230000000003</v>
      </c>
      <c r="AG290" s="14">
        <v>4.6551200000000001</v>
      </c>
      <c r="AH290" s="9" t="s">
        <v>3129</v>
      </c>
      <c r="AI290" s="15" t="s">
        <v>319</v>
      </c>
      <c r="AJ290" s="9" t="s">
        <v>293</v>
      </c>
      <c r="AK290" s="9" t="s">
        <v>3695</v>
      </c>
      <c r="AL290" s="9" t="s">
        <v>3696</v>
      </c>
      <c r="AM290" s="9"/>
      <c r="AN290" s="9" t="s">
        <v>3697</v>
      </c>
      <c r="AO290" s="9"/>
      <c r="AP290" s="9" t="s">
        <v>2186</v>
      </c>
      <c r="AQ290" s="9" t="s">
        <v>3512</v>
      </c>
      <c r="AR290" t="b">
        <v>0</v>
      </c>
      <c r="AS290" s="10"/>
      <c r="AT290" s="10" t="s">
        <v>299</v>
      </c>
      <c r="AU290" s="9"/>
      <c r="AW290" s="12"/>
      <c r="AX290" s="11"/>
      <c r="AY290" s="9"/>
      <c r="AZ290" t="b">
        <v>0</v>
      </c>
      <c r="BA290" s="9"/>
      <c r="BB290" s="12"/>
      <c r="BC290" s="11"/>
      <c r="BD290" s="9" t="s">
        <v>300</v>
      </c>
      <c r="BE290" s="9" t="s">
        <v>301</v>
      </c>
      <c r="BF290" s="9" t="s">
        <v>690</v>
      </c>
      <c r="BG290" s="9" t="s">
        <v>967</v>
      </c>
      <c r="BH290" s="9" t="s">
        <v>304</v>
      </c>
      <c r="BI290" s="9" t="s">
        <v>3499</v>
      </c>
      <c r="BJ290" s="9" t="s">
        <v>3500</v>
      </c>
      <c r="BK290" s="11">
        <v>400</v>
      </c>
      <c r="BL290" s="16" t="s">
        <v>299</v>
      </c>
      <c r="BM290" s="10"/>
      <c r="BN290" s="10"/>
      <c r="BO290" s="10"/>
      <c r="BP290" s="16"/>
      <c r="BQ290" s="16"/>
      <c r="BR290" s="9"/>
      <c r="BS290" s="9"/>
      <c r="BT290" s="9"/>
      <c r="BU290" s="9"/>
      <c r="BV290" s="9"/>
      <c r="BW290" s="10"/>
      <c r="BX290" s="15" t="s">
        <v>1126</v>
      </c>
      <c r="BY290" s="10">
        <v>45034</v>
      </c>
      <c r="BZ290" s="10">
        <v>51795</v>
      </c>
      <c r="CA290" s="10">
        <v>45544</v>
      </c>
      <c r="CC290" s="9" t="s">
        <v>308</v>
      </c>
      <c r="CD290" s="9" t="s">
        <v>309</v>
      </c>
    </row>
    <row r="291" spans="1:82">
      <c r="A291" s="8">
        <v>79226</v>
      </c>
      <c r="B291" s="9" t="s">
        <v>3698</v>
      </c>
      <c r="C291" s="9" t="s">
        <v>3609</v>
      </c>
      <c r="D291" s="10">
        <v>45033</v>
      </c>
      <c r="E291" s="9" t="s">
        <v>3699</v>
      </c>
      <c r="F291" s="9" t="s">
        <v>3700</v>
      </c>
      <c r="G291" s="9" t="s">
        <v>3701</v>
      </c>
      <c r="H291" s="9" t="s">
        <v>315</v>
      </c>
      <c r="I291" s="9" t="s">
        <v>282</v>
      </c>
      <c r="J291" s="9" t="s">
        <v>283</v>
      </c>
      <c r="K291" s="9" t="s">
        <v>284</v>
      </c>
      <c r="L291" s="9" t="s">
        <v>3702</v>
      </c>
      <c r="M291" s="9" t="s">
        <v>3703</v>
      </c>
      <c r="N291" s="8">
        <v>1</v>
      </c>
      <c r="O291" s="9" t="s">
        <v>3704</v>
      </c>
      <c r="P291" s="11">
        <v>352</v>
      </c>
      <c r="Q291" s="11">
        <v>253</v>
      </c>
      <c r="R291" s="11">
        <v>249</v>
      </c>
      <c r="S291" s="11">
        <v>1097.75</v>
      </c>
      <c r="T291" s="11">
        <v>386408</v>
      </c>
      <c r="U291" s="12">
        <v>0.05</v>
      </c>
      <c r="V291" s="12"/>
      <c r="W291" s="11"/>
      <c r="X291" s="9" t="s">
        <v>288</v>
      </c>
      <c r="Y291" s="10">
        <v>44496</v>
      </c>
      <c r="Z291" s="13">
        <v>0.11070000000000001</v>
      </c>
      <c r="AB291" t="b">
        <v>1</v>
      </c>
      <c r="AC291" s="9" t="s">
        <v>1754</v>
      </c>
      <c r="AD291" s="9" t="s">
        <v>1755</v>
      </c>
      <c r="AE291" s="8">
        <v>1776</v>
      </c>
      <c r="AF291" s="14">
        <v>46.240029999999997</v>
      </c>
      <c r="AG291" s="14">
        <v>1.5900000000000001E-3</v>
      </c>
      <c r="AH291" s="9" t="s">
        <v>3129</v>
      </c>
      <c r="AI291" s="15" t="s">
        <v>319</v>
      </c>
      <c r="AJ291" s="9" t="s">
        <v>293</v>
      </c>
      <c r="AK291" s="9" t="s">
        <v>3705</v>
      </c>
      <c r="AL291" s="9" t="s">
        <v>3706</v>
      </c>
      <c r="AM291" s="9"/>
      <c r="AN291" s="9" t="s">
        <v>3707</v>
      </c>
      <c r="AO291" s="9"/>
      <c r="AP291" s="9" t="s">
        <v>3619</v>
      </c>
      <c r="AQ291" s="9" t="s">
        <v>3178</v>
      </c>
      <c r="AR291" t="b">
        <v>1</v>
      </c>
      <c r="AS291" s="10">
        <v>45291</v>
      </c>
      <c r="AT291" s="10">
        <v>46022</v>
      </c>
      <c r="AU291" s="9" t="s">
        <v>1139</v>
      </c>
      <c r="AV291" t="b">
        <v>1</v>
      </c>
      <c r="AW291" s="12"/>
      <c r="AX291" s="11">
        <v>8500</v>
      </c>
      <c r="AY291" s="9" t="s">
        <v>471</v>
      </c>
      <c r="AZ291" t="b">
        <v>1</v>
      </c>
      <c r="BA291" s="9" t="s">
        <v>242</v>
      </c>
      <c r="BB291" s="12">
        <v>0.1</v>
      </c>
      <c r="BC291" s="11"/>
      <c r="BD291" s="9" t="s">
        <v>300</v>
      </c>
      <c r="BE291" s="9" t="s">
        <v>86</v>
      </c>
      <c r="BF291" s="9" t="s">
        <v>402</v>
      </c>
      <c r="BG291" s="9" t="s">
        <v>529</v>
      </c>
      <c r="BH291" s="9" t="s">
        <v>304</v>
      </c>
      <c r="BI291" s="9" t="s">
        <v>3620</v>
      </c>
      <c r="BJ291" s="9" t="s">
        <v>3621</v>
      </c>
      <c r="BK291" s="11">
        <v>400</v>
      </c>
      <c r="BL291" s="16" t="s">
        <v>299</v>
      </c>
      <c r="BM291" s="10"/>
      <c r="BN291" s="10"/>
      <c r="BO291" s="10"/>
      <c r="BP291" s="16"/>
      <c r="BQ291" s="16"/>
      <c r="BR291" s="9" t="s">
        <v>3708</v>
      </c>
      <c r="BS291" s="9" t="s">
        <v>3709</v>
      </c>
      <c r="BT291" s="9" t="s">
        <v>3710</v>
      </c>
      <c r="BU291" s="9" t="s">
        <v>3711</v>
      </c>
      <c r="BV291" s="9" t="s">
        <v>3712</v>
      </c>
      <c r="BW291" s="10"/>
      <c r="BX291" s="15" t="s">
        <v>3713</v>
      </c>
      <c r="BY291" s="10">
        <v>45033</v>
      </c>
      <c r="BZ291" s="10">
        <v>52338</v>
      </c>
      <c r="CA291" s="10">
        <v>45078</v>
      </c>
      <c r="CC291" s="9" t="s">
        <v>308</v>
      </c>
      <c r="CD291" s="9" t="s">
        <v>309</v>
      </c>
    </row>
    <row r="292" spans="1:82">
      <c r="A292" s="8">
        <v>26541</v>
      </c>
      <c r="B292" s="9" t="s">
        <v>3714</v>
      </c>
      <c r="C292" s="9" t="s">
        <v>3122</v>
      </c>
      <c r="D292" s="10">
        <v>45021</v>
      </c>
      <c r="E292" s="9" t="s">
        <v>3715</v>
      </c>
      <c r="F292" s="9" t="s">
        <v>948</v>
      </c>
      <c r="G292" s="9" t="s">
        <v>3716</v>
      </c>
      <c r="H292" s="9" t="s">
        <v>281</v>
      </c>
      <c r="I292" s="9" t="s">
        <v>282</v>
      </c>
      <c r="J292" s="9" t="s">
        <v>283</v>
      </c>
      <c r="K292" s="9" t="s">
        <v>1696</v>
      </c>
      <c r="L292" s="9" t="s">
        <v>3717</v>
      </c>
      <c r="M292" s="9" t="s">
        <v>3718</v>
      </c>
      <c r="N292" s="8">
        <v>1</v>
      </c>
      <c r="O292" s="9" t="s">
        <v>3719</v>
      </c>
      <c r="P292" s="11">
        <v>98.174999999999997</v>
      </c>
      <c r="Q292" s="11">
        <v>110</v>
      </c>
      <c r="R292" s="11">
        <v>90</v>
      </c>
      <c r="S292" s="11">
        <v>1316.73</v>
      </c>
      <c r="T292" s="11">
        <v>129269.96775</v>
      </c>
      <c r="U292" s="12">
        <v>1.9E-2</v>
      </c>
      <c r="V292" s="12"/>
      <c r="W292" s="11"/>
      <c r="X292" s="9" t="s">
        <v>288</v>
      </c>
      <c r="Y292" s="10">
        <v>44377</v>
      </c>
      <c r="Z292" s="13">
        <v>9.5200000000000007E-2</v>
      </c>
      <c r="AC292" s="9" t="s">
        <v>289</v>
      </c>
      <c r="AD292" s="9" t="s">
        <v>290</v>
      </c>
      <c r="AE292" s="8">
        <v>476.42975999999999</v>
      </c>
      <c r="AF292" s="14">
        <v>42.976219999999998</v>
      </c>
      <c r="AG292" s="14">
        <v>2.03586</v>
      </c>
      <c r="AH292" s="9" t="s">
        <v>3129</v>
      </c>
      <c r="AI292" s="15" t="s">
        <v>319</v>
      </c>
      <c r="AJ292" s="9" t="s">
        <v>293</v>
      </c>
      <c r="AK292" s="9" t="s">
        <v>3720</v>
      </c>
      <c r="AL292" s="9" t="s">
        <v>3721</v>
      </c>
      <c r="AM292" s="9"/>
      <c r="AN292" s="9" t="s">
        <v>3722</v>
      </c>
      <c r="AO292" s="9"/>
      <c r="AP292" s="9" t="s">
        <v>3133</v>
      </c>
      <c r="AQ292" s="9" t="s">
        <v>3723</v>
      </c>
      <c r="AR292" t="b">
        <v>0</v>
      </c>
      <c r="AS292" s="10"/>
      <c r="AT292" s="10" t="s">
        <v>299</v>
      </c>
      <c r="AU292" s="9"/>
      <c r="AW292" s="12"/>
      <c r="AX292" s="11"/>
      <c r="AY292" s="9"/>
      <c r="AZ292" t="b">
        <v>0</v>
      </c>
      <c r="BA292" s="9"/>
      <c r="BB292" s="12"/>
      <c r="BC292" s="11"/>
      <c r="BD292" s="9" t="s">
        <v>325</v>
      </c>
      <c r="BE292" s="9" t="s">
        <v>301</v>
      </c>
      <c r="BF292" s="9" t="s">
        <v>980</v>
      </c>
      <c r="BG292" s="9" t="s">
        <v>738</v>
      </c>
      <c r="BH292" s="9" t="s">
        <v>304</v>
      </c>
      <c r="BI292" s="9" t="s">
        <v>3135</v>
      </c>
      <c r="BJ292" s="9" t="s">
        <v>3136</v>
      </c>
      <c r="BK292" s="11">
        <v>400</v>
      </c>
      <c r="BL292" s="16" t="s">
        <v>299</v>
      </c>
      <c r="BM292" s="10"/>
      <c r="BN292" s="10"/>
      <c r="BO292" s="10"/>
      <c r="BP292" s="16"/>
      <c r="BQ292" s="16"/>
      <c r="BR292" s="9"/>
      <c r="BS292" s="9"/>
      <c r="BT292" s="9"/>
      <c r="BU292" s="9"/>
      <c r="BV292" s="9"/>
      <c r="BW292" s="10"/>
      <c r="BX292" s="15" t="s">
        <v>3724</v>
      </c>
      <c r="BY292" s="10">
        <v>45021</v>
      </c>
      <c r="BZ292" s="10">
        <v>52121</v>
      </c>
      <c r="CA292" s="10">
        <v>45554</v>
      </c>
      <c r="CC292" s="9" t="s">
        <v>308</v>
      </c>
      <c r="CD292" s="9" t="s">
        <v>309</v>
      </c>
    </row>
    <row r="293" spans="1:82">
      <c r="A293" s="8">
        <v>21438</v>
      </c>
      <c r="B293" s="9" t="s">
        <v>3725</v>
      </c>
      <c r="C293" s="9" t="s">
        <v>3122</v>
      </c>
      <c r="D293" s="10">
        <v>45019</v>
      </c>
      <c r="E293" s="9" t="s">
        <v>3726</v>
      </c>
      <c r="F293" s="9" t="s">
        <v>3727</v>
      </c>
      <c r="G293" s="9" t="s">
        <v>3728</v>
      </c>
      <c r="H293" s="9" t="s">
        <v>281</v>
      </c>
      <c r="I293" s="9" t="s">
        <v>282</v>
      </c>
      <c r="J293" s="9" t="s">
        <v>283</v>
      </c>
      <c r="K293" s="9" t="s">
        <v>1696</v>
      </c>
      <c r="L293" s="9" t="s">
        <v>3729</v>
      </c>
      <c r="M293" s="9" t="s">
        <v>3730</v>
      </c>
      <c r="N293" s="8">
        <v>1</v>
      </c>
      <c r="O293" s="9" t="s">
        <v>3731</v>
      </c>
      <c r="P293" s="11">
        <v>99.715000000000003</v>
      </c>
      <c r="Q293" s="11">
        <v>121</v>
      </c>
      <c r="R293" s="11">
        <v>90</v>
      </c>
      <c r="S293" s="11">
        <v>1206.44</v>
      </c>
      <c r="T293" s="11">
        <v>120300.1646</v>
      </c>
      <c r="U293" s="12">
        <v>1.9E-2</v>
      </c>
      <c r="V293" s="12"/>
      <c r="W293" s="11"/>
      <c r="X293" s="9" t="s">
        <v>288</v>
      </c>
      <c r="Y293" s="10">
        <v>44274</v>
      </c>
      <c r="Z293" s="13">
        <v>9.74E-2</v>
      </c>
      <c r="AC293" s="9" t="s">
        <v>289</v>
      </c>
      <c r="AD293" s="9" t="s">
        <v>290</v>
      </c>
      <c r="AE293" s="8">
        <v>483.90316999999999</v>
      </c>
      <c r="AF293" s="14">
        <v>45.525649999999999</v>
      </c>
      <c r="AG293" s="14">
        <v>1.65655</v>
      </c>
      <c r="AH293" s="9" t="s">
        <v>3129</v>
      </c>
      <c r="AI293" s="15" t="s">
        <v>319</v>
      </c>
      <c r="AJ293" s="9" t="s">
        <v>293</v>
      </c>
      <c r="AK293" s="9" t="s">
        <v>3732</v>
      </c>
      <c r="AL293" s="9" t="s">
        <v>3733</v>
      </c>
      <c r="AM293" s="9"/>
      <c r="AN293" s="9" t="s">
        <v>3734</v>
      </c>
      <c r="AO293" s="9"/>
      <c r="AP293" s="9" t="s">
        <v>3133</v>
      </c>
      <c r="AQ293" s="9" t="s">
        <v>3512</v>
      </c>
      <c r="AR293" t="b">
        <v>0</v>
      </c>
      <c r="AS293" s="10"/>
      <c r="AT293" s="10" t="s">
        <v>299</v>
      </c>
      <c r="AU293" s="9"/>
      <c r="AW293" s="12"/>
      <c r="AX293" s="11"/>
      <c r="AY293" s="9"/>
      <c r="AZ293" t="b">
        <v>0</v>
      </c>
      <c r="BA293" s="9"/>
      <c r="BB293" s="12"/>
      <c r="BC293" s="11"/>
      <c r="BD293" s="9" t="s">
        <v>325</v>
      </c>
      <c r="BE293" s="9" t="s">
        <v>301</v>
      </c>
      <c r="BF293" s="9" t="s">
        <v>702</v>
      </c>
      <c r="BG293" s="9" t="s">
        <v>749</v>
      </c>
      <c r="BH293" s="9" t="s">
        <v>304</v>
      </c>
      <c r="BI293" s="9" t="s">
        <v>3135</v>
      </c>
      <c r="BJ293" s="9" t="s">
        <v>3136</v>
      </c>
      <c r="BK293" s="11">
        <v>400</v>
      </c>
      <c r="BL293" s="16" t="s">
        <v>299</v>
      </c>
      <c r="BM293" s="10"/>
      <c r="BN293" s="10"/>
      <c r="BO293" s="10"/>
      <c r="BP293" s="16"/>
      <c r="BQ293" s="16"/>
      <c r="BR293" s="9"/>
      <c r="BS293" s="9"/>
      <c r="BT293" s="9"/>
      <c r="BU293" s="9"/>
      <c r="BV293" s="9"/>
      <c r="BW293" s="10"/>
      <c r="BX293" s="15" t="s">
        <v>3735</v>
      </c>
      <c r="BY293" s="10">
        <v>45019</v>
      </c>
      <c r="BZ293" s="10">
        <v>51834</v>
      </c>
      <c r="CA293" s="10">
        <v>45630</v>
      </c>
      <c r="CC293" s="9" t="s">
        <v>308</v>
      </c>
      <c r="CD293" s="9" t="s">
        <v>309</v>
      </c>
    </row>
    <row r="294" spans="1:82">
      <c r="A294" s="8">
        <v>22240</v>
      </c>
      <c r="B294" s="9" t="s">
        <v>3736</v>
      </c>
      <c r="C294" s="9" t="s">
        <v>3517</v>
      </c>
      <c r="D294" s="10">
        <v>45016</v>
      </c>
      <c r="E294" s="9" t="s">
        <v>3737</v>
      </c>
      <c r="F294" s="9" t="s">
        <v>3738</v>
      </c>
      <c r="G294" s="9" t="s">
        <v>3739</v>
      </c>
      <c r="H294" s="9" t="s">
        <v>281</v>
      </c>
      <c r="I294" s="9" t="s">
        <v>282</v>
      </c>
      <c r="J294" s="9" t="s">
        <v>283</v>
      </c>
      <c r="K294" s="9" t="s">
        <v>284</v>
      </c>
      <c r="L294" s="9" t="s">
        <v>3740</v>
      </c>
      <c r="M294" s="9" t="s">
        <v>3741</v>
      </c>
      <c r="N294" s="8">
        <v>1</v>
      </c>
      <c r="O294" s="9" t="s">
        <v>3742</v>
      </c>
      <c r="P294" s="11">
        <v>99.9</v>
      </c>
      <c r="Q294" s="11">
        <v>110</v>
      </c>
      <c r="R294" s="11">
        <v>90</v>
      </c>
      <c r="S294" s="11">
        <v>1366.57</v>
      </c>
      <c r="T294" s="11">
        <v>136520.34299999999</v>
      </c>
      <c r="U294" s="12">
        <v>1.9E-2</v>
      </c>
      <c r="V294" s="12"/>
      <c r="W294" s="11"/>
      <c r="X294" s="9" t="s">
        <v>288</v>
      </c>
      <c r="Y294" s="10">
        <v>44488</v>
      </c>
      <c r="Z294" s="13">
        <v>0.107</v>
      </c>
      <c r="AC294" s="9" t="s">
        <v>289</v>
      </c>
      <c r="AD294" s="9" t="s">
        <v>290</v>
      </c>
      <c r="AE294" s="8">
        <v>491.85629999999998</v>
      </c>
      <c r="AF294" s="14">
        <v>44.216099999999997</v>
      </c>
      <c r="AG294" s="14">
        <v>4.2119999999999997</v>
      </c>
      <c r="AH294" s="9" t="s">
        <v>3129</v>
      </c>
      <c r="AI294" s="15" t="s">
        <v>319</v>
      </c>
      <c r="AJ294" s="9" t="s">
        <v>293</v>
      </c>
      <c r="AK294" s="9" t="s">
        <v>3743</v>
      </c>
      <c r="AL294" s="9" t="s">
        <v>3744</v>
      </c>
      <c r="AM294" s="9"/>
      <c r="AN294" s="9" t="s">
        <v>3745</v>
      </c>
      <c r="AO294" s="9"/>
      <c r="AP294" s="9" t="s">
        <v>2186</v>
      </c>
      <c r="AQ294" s="9" t="s">
        <v>3134</v>
      </c>
      <c r="AR294" t="b">
        <v>0</v>
      </c>
      <c r="AS294" s="10"/>
      <c r="AT294" s="10" t="s">
        <v>299</v>
      </c>
      <c r="AU294" s="9"/>
      <c r="AW294" s="12"/>
      <c r="AX294" s="11"/>
      <c r="AY294" s="9"/>
      <c r="AZ294" t="b">
        <v>0</v>
      </c>
      <c r="BA294" s="9"/>
      <c r="BB294" s="12"/>
      <c r="BC294" s="11"/>
      <c r="BD294" s="9" t="s">
        <v>300</v>
      </c>
      <c r="BE294" s="9" t="s">
        <v>47</v>
      </c>
      <c r="BF294" s="9" t="s">
        <v>980</v>
      </c>
      <c r="BG294" s="9" t="s">
        <v>967</v>
      </c>
      <c r="BH294" s="9" t="s">
        <v>304</v>
      </c>
      <c r="BI294" s="9" t="s">
        <v>3527</v>
      </c>
      <c r="BJ294" s="9" t="s">
        <v>3528</v>
      </c>
      <c r="BK294" s="11">
        <v>400</v>
      </c>
      <c r="BL294" s="16" t="s">
        <v>299</v>
      </c>
      <c r="BM294" s="10"/>
      <c r="BN294" s="10"/>
      <c r="BO294" s="10"/>
      <c r="BP294" s="16"/>
      <c r="BQ294" s="16"/>
      <c r="BR294" s="9"/>
      <c r="BS294" s="9"/>
      <c r="BT294" s="9"/>
      <c r="BU294" s="9"/>
      <c r="BV294" s="9"/>
      <c r="BW294" s="10"/>
      <c r="BX294" s="15" t="s">
        <v>3746</v>
      </c>
      <c r="BY294" s="10">
        <v>45016</v>
      </c>
      <c r="BZ294" s="10">
        <v>52320</v>
      </c>
      <c r="CA294" s="10">
        <v>45559</v>
      </c>
      <c r="CC294" s="9" t="s">
        <v>308</v>
      </c>
      <c r="CD294" s="9" t="s">
        <v>309</v>
      </c>
    </row>
    <row r="295" spans="1:82" ht="29.1">
      <c r="A295" s="8">
        <v>22961</v>
      </c>
      <c r="B295" s="9" t="s">
        <v>3747</v>
      </c>
      <c r="C295" s="9" t="s">
        <v>3517</v>
      </c>
      <c r="D295" s="10">
        <v>45012</v>
      </c>
      <c r="E295" s="9" t="s">
        <v>3748</v>
      </c>
      <c r="F295" s="9" t="s">
        <v>3749</v>
      </c>
      <c r="G295" s="9" t="s">
        <v>3750</v>
      </c>
      <c r="H295" s="9" t="s">
        <v>281</v>
      </c>
      <c r="I295" s="9" t="s">
        <v>282</v>
      </c>
      <c r="J295" s="9" t="s">
        <v>283</v>
      </c>
      <c r="K295" s="9" t="s">
        <v>1696</v>
      </c>
      <c r="L295" s="9" t="s">
        <v>3751</v>
      </c>
      <c r="M295" s="9" t="s">
        <v>3752</v>
      </c>
      <c r="N295" s="8">
        <v>1</v>
      </c>
      <c r="O295" s="9" t="s">
        <v>3753</v>
      </c>
      <c r="P295" s="11">
        <v>99.715000000000003</v>
      </c>
      <c r="Q295" s="11">
        <v>121</v>
      </c>
      <c r="R295" s="11">
        <v>90</v>
      </c>
      <c r="S295" s="11">
        <v>1279.6400000000001</v>
      </c>
      <c r="T295" s="11">
        <v>127599.3026</v>
      </c>
      <c r="U295" s="12">
        <v>0.05</v>
      </c>
      <c r="V295" s="12"/>
      <c r="W295" s="11"/>
      <c r="X295" s="9" t="s">
        <v>288</v>
      </c>
      <c r="Y295" s="10">
        <v>44239</v>
      </c>
      <c r="Z295" s="13">
        <v>9.74E-2</v>
      </c>
      <c r="AC295" s="9" t="s">
        <v>289</v>
      </c>
      <c r="AD295" s="9" t="s">
        <v>290</v>
      </c>
      <c r="AE295" s="8">
        <v>483.90316999999999</v>
      </c>
      <c r="AF295" s="14">
        <v>43.408059999999999</v>
      </c>
      <c r="AG295" s="14">
        <v>-0.20659</v>
      </c>
      <c r="AH295" s="9" t="s">
        <v>3129</v>
      </c>
      <c r="AI295" s="15" t="s">
        <v>319</v>
      </c>
      <c r="AJ295" s="9" t="s">
        <v>293</v>
      </c>
      <c r="AK295" s="9" t="s">
        <v>3754</v>
      </c>
      <c r="AL295" s="9" t="s">
        <v>3755</v>
      </c>
      <c r="AM295" s="9"/>
      <c r="AN295" s="9" t="s">
        <v>3756</v>
      </c>
      <c r="AO295" s="9"/>
      <c r="AP295" s="9" t="s">
        <v>3133</v>
      </c>
      <c r="AQ295" s="9" t="s">
        <v>3134</v>
      </c>
      <c r="AR295" t="b">
        <v>0</v>
      </c>
      <c r="AS295" s="10"/>
      <c r="AT295" s="10" t="s">
        <v>299</v>
      </c>
      <c r="AU295" s="9"/>
      <c r="AW295" s="12"/>
      <c r="AX295" s="11"/>
      <c r="AY295" s="9"/>
      <c r="AZ295" t="b">
        <v>0</v>
      </c>
      <c r="BA295" s="9"/>
      <c r="BB295" s="12"/>
      <c r="BC295" s="11"/>
      <c r="BD295" s="9" t="s">
        <v>325</v>
      </c>
      <c r="BE295" s="9" t="s">
        <v>47</v>
      </c>
      <c r="BF295" s="9" t="s">
        <v>702</v>
      </c>
      <c r="BG295" s="9" t="s">
        <v>749</v>
      </c>
      <c r="BH295" s="9" t="s">
        <v>304</v>
      </c>
      <c r="BI295" s="9" t="s">
        <v>3527</v>
      </c>
      <c r="BJ295" s="9" t="s">
        <v>3528</v>
      </c>
      <c r="BK295" s="11">
        <v>400</v>
      </c>
      <c r="BL295" s="16" t="s">
        <v>299</v>
      </c>
      <c r="BM295" s="10"/>
      <c r="BN295" s="10"/>
      <c r="BO295" s="10"/>
      <c r="BP295" s="16"/>
      <c r="BQ295" s="16"/>
      <c r="BR295" s="9"/>
      <c r="BS295" s="9"/>
      <c r="BT295" s="9"/>
      <c r="BU295" s="9"/>
      <c r="BV295" s="9"/>
      <c r="BW295" s="10"/>
      <c r="BX295" s="15" t="s">
        <v>3757</v>
      </c>
      <c r="BY295" s="10">
        <v>45012</v>
      </c>
      <c r="BZ295" s="10">
        <v>51719</v>
      </c>
      <c r="CA295" s="10">
        <v>45560</v>
      </c>
      <c r="CC295" s="9" t="s">
        <v>308</v>
      </c>
      <c r="CD295" s="9" t="s">
        <v>309</v>
      </c>
    </row>
    <row r="296" spans="1:82" ht="29.1">
      <c r="A296" s="8">
        <v>84039</v>
      </c>
      <c r="B296" s="9" t="s">
        <v>3758</v>
      </c>
      <c r="C296" s="9" t="s">
        <v>3759</v>
      </c>
      <c r="D296" s="10">
        <v>44987</v>
      </c>
      <c r="E296" s="9" t="s">
        <v>3760</v>
      </c>
      <c r="F296" s="9" t="s">
        <v>850</v>
      </c>
      <c r="G296" s="9" t="s">
        <v>3761</v>
      </c>
      <c r="H296" s="9" t="s">
        <v>281</v>
      </c>
      <c r="I296" s="9" t="s">
        <v>282</v>
      </c>
      <c r="J296" s="9" t="s">
        <v>283</v>
      </c>
      <c r="K296" s="9" t="s">
        <v>1696</v>
      </c>
      <c r="L296" s="9" t="s">
        <v>3762</v>
      </c>
      <c r="M296" s="9" t="s">
        <v>3763</v>
      </c>
      <c r="N296" s="8">
        <v>1</v>
      </c>
      <c r="O296" s="9" t="s">
        <v>3764</v>
      </c>
      <c r="P296" s="11">
        <v>100</v>
      </c>
      <c r="Q296" s="11">
        <v>110</v>
      </c>
      <c r="R296" s="11">
        <v>100</v>
      </c>
      <c r="S296" s="11">
        <v>1200.8</v>
      </c>
      <c r="T296" s="11">
        <v>120080</v>
      </c>
      <c r="U296" s="12">
        <v>0.05</v>
      </c>
      <c r="V296" s="12"/>
      <c r="W296" s="11"/>
      <c r="X296" s="9" t="s">
        <v>288</v>
      </c>
      <c r="Y296" s="10">
        <v>44145</v>
      </c>
      <c r="Z296" s="13">
        <v>9.8699999999999996E-2</v>
      </c>
      <c r="AC296" s="9" t="s">
        <v>289</v>
      </c>
      <c r="AD296" s="9" t="s">
        <v>290</v>
      </c>
      <c r="AE296" s="8">
        <v>486.36315200000001</v>
      </c>
      <c r="AF296" s="14">
        <v>47.417969999999997</v>
      </c>
      <c r="AG296" s="14">
        <v>-1.4360200000000001</v>
      </c>
      <c r="AH296" s="9" t="s">
        <v>3129</v>
      </c>
      <c r="AI296" s="15" t="s">
        <v>3765</v>
      </c>
      <c r="AJ296" s="9" t="s">
        <v>293</v>
      </c>
      <c r="AK296" s="9" t="s">
        <v>3766</v>
      </c>
      <c r="AL296" s="9" t="s">
        <v>3767</v>
      </c>
      <c r="AM296" s="9"/>
      <c r="AN296" s="9" t="s">
        <v>3768</v>
      </c>
      <c r="AO296" s="9"/>
      <c r="AP296" s="9" t="s">
        <v>3769</v>
      </c>
      <c r="AQ296" s="9" t="s">
        <v>3769</v>
      </c>
      <c r="AR296" t="b">
        <v>0</v>
      </c>
      <c r="AS296" s="10"/>
      <c r="AT296" s="10" t="s">
        <v>299</v>
      </c>
      <c r="AU296" s="9"/>
      <c r="AW296" s="12"/>
      <c r="AX296" s="11"/>
      <c r="AY296" s="9"/>
      <c r="AZ296" t="b">
        <v>0</v>
      </c>
      <c r="BA296" s="9"/>
      <c r="BB296" s="12"/>
      <c r="BC296" s="11"/>
      <c r="BD296" s="9" t="s">
        <v>300</v>
      </c>
      <c r="BE296" s="9" t="s">
        <v>86</v>
      </c>
      <c r="BF296" s="9" t="s">
        <v>402</v>
      </c>
      <c r="BG296" s="9" t="s">
        <v>529</v>
      </c>
      <c r="BH296" s="9" t="s">
        <v>304</v>
      </c>
      <c r="BI296" s="9" t="s">
        <v>3770</v>
      </c>
      <c r="BJ296" s="9" t="s">
        <v>3771</v>
      </c>
      <c r="BK296" s="11">
        <v>400</v>
      </c>
      <c r="BL296" s="16" t="s">
        <v>299</v>
      </c>
      <c r="BM296" s="10"/>
      <c r="BN296" s="10"/>
      <c r="BO296" s="10"/>
      <c r="BP296" s="16"/>
      <c r="BQ296" s="16"/>
      <c r="BR296" s="9"/>
      <c r="BS296" s="9"/>
      <c r="BT296" s="9"/>
      <c r="BU296" s="9"/>
      <c r="BV296" s="9"/>
      <c r="BW296" s="10"/>
      <c r="BX296" s="15" t="s">
        <v>1595</v>
      </c>
      <c r="BY296" s="10">
        <v>44987</v>
      </c>
      <c r="BZ296" s="10">
        <v>52291</v>
      </c>
      <c r="CA296" s="10">
        <v>45434</v>
      </c>
      <c r="CC296" s="9" t="s">
        <v>308</v>
      </c>
      <c r="CD296" s="9" t="s">
        <v>309</v>
      </c>
    </row>
    <row r="297" spans="1:82">
      <c r="A297" s="8">
        <v>14325</v>
      </c>
      <c r="B297" s="9" t="s">
        <v>3772</v>
      </c>
      <c r="C297" s="9" t="s">
        <v>3517</v>
      </c>
      <c r="D297" s="10">
        <v>44984</v>
      </c>
      <c r="E297" s="9" t="s">
        <v>3773</v>
      </c>
      <c r="F297" s="9" t="s">
        <v>3774</v>
      </c>
      <c r="G297" s="9" t="s">
        <v>3775</v>
      </c>
      <c r="H297" s="9" t="s">
        <v>281</v>
      </c>
      <c r="I297" s="9" t="s">
        <v>282</v>
      </c>
      <c r="J297" s="9" t="s">
        <v>603</v>
      </c>
      <c r="K297" s="9" t="s">
        <v>1696</v>
      </c>
      <c r="L297" s="9" t="s">
        <v>3776</v>
      </c>
      <c r="M297" s="9" t="s">
        <v>3777</v>
      </c>
      <c r="N297" s="8">
        <v>1</v>
      </c>
      <c r="O297" s="9" t="s">
        <v>3778</v>
      </c>
      <c r="P297" s="11">
        <v>99.94</v>
      </c>
      <c r="Q297" s="11">
        <v>110</v>
      </c>
      <c r="R297" s="11">
        <v>90</v>
      </c>
      <c r="S297" s="11">
        <v>1241.44</v>
      </c>
      <c r="T297" s="11">
        <v>124069.51360000001</v>
      </c>
      <c r="U297" s="12">
        <v>5.2999999999999999E-2</v>
      </c>
      <c r="V297" s="12"/>
      <c r="W297" s="11"/>
      <c r="X297" s="9" t="s">
        <v>288</v>
      </c>
      <c r="Y297" s="10">
        <v>44152</v>
      </c>
      <c r="Z297" s="13">
        <v>9.8699999999999996E-2</v>
      </c>
      <c r="AC297" s="9" t="s">
        <v>289</v>
      </c>
      <c r="AD297" s="9" t="s">
        <v>290</v>
      </c>
      <c r="AE297" s="8">
        <v>491.37657999999999</v>
      </c>
      <c r="AF297" s="14">
        <v>45.659500000000001</v>
      </c>
      <c r="AG297" s="14">
        <v>-0.66618999999999995</v>
      </c>
      <c r="AH297" s="9" t="s">
        <v>3129</v>
      </c>
      <c r="AI297" s="15" t="s">
        <v>319</v>
      </c>
      <c r="AJ297" s="9" t="s">
        <v>293</v>
      </c>
      <c r="AK297" s="9" t="s">
        <v>3779</v>
      </c>
      <c r="AL297" s="9" t="s">
        <v>3780</v>
      </c>
      <c r="AM297" s="9"/>
      <c r="AN297" s="9" t="s">
        <v>3781</v>
      </c>
      <c r="AO297" s="9"/>
      <c r="AP297" s="9" t="s">
        <v>597</v>
      </c>
      <c r="AQ297" s="9" t="s">
        <v>3512</v>
      </c>
      <c r="AR297" t="b">
        <v>0</v>
      </c>
      <c r="AS297" s="10"/>
      <c r="AT297" s="10" t="s">
        <v>299</v>
      </c>
      <c r="AU297" s="9"/>
      <c r="AW297" s="12"/>
      <c r="AX297" s="11"/>
      <c r="AY297" s="9"/>
      <c r="AZ297" t="b">
        <v>0</v>
      </c>
      <c r="BA297" s="9"/>
      <c r="BB297" s="12"/>
      <c r="BC297" s="11"/>
      <c r="BD297" s="9" t="s">
        <v>325</v>
      </c>
      <c r="BE297" s="9" t="s">
        <v>47</v>
      </c>
      <c r="BF297" s="9" t="s">
        <v>1111</v>
      </c>
      <c r="BG297" s="9" t="s">
        <v>749</v>
      </c>
      <c r="BH297" s="9" t="s">
        <v>304</v>
      </c>
      <c r="BI297" s="9" t="s">
        <v>3527</v>
      </c>
      <c r="BJ297" s="9" t="s">
        <v>3528</v>
      </c>
      <c r="BK297" s="11">
        <v>400</v>
      </c>
      <c r="BL297" s="16" t="s">
        <v>299</v>
      </c>
      <c r="BM297" s="10"/>
      <c r="BN297" s="10"/>
      <c r="BO297" s="10"/>
      <c r="BP297" s="16"/>
      <c r="BQ297" s="16"/>
      <c r="BR297" s="9"/>
      <c r="BS297" s="9"/>
      <c r="BT297" s="9"/>
      <c r="BU297" s="9"/>
      <c r="BV297" s="9"/>
      <c r="BW297" s="10"/>
      <c r="BX297" s="15" t="s">
        <v>3782</v>
      </c>
      <c r="BY297" s="10">
        <v>44984</v>
      </c>
      <c r="BZ297" s="10">
        <v>51613</v>
      </c>
      <c r="CA297" s="10">
        <v>45554</v>
      </c>
      <c r="CC297" s="9" t="s">
        <v>308</v>
      </c>
      <c r="CD297" s="9" t="s">
        <v>309</v>
      </c>
    </row>
    <row r="298" spans="1:82">
      <c r="A298" s="8">
        <v>14126</v>
      </c>
      <c r="B298" s="9" t="s">
        <v>2835</v>
      </c>
      <c r="C298" s="9" t="s">
        <v>3517</v>
      </c>
      <c r="D298" s="10">
        <v>44965</v>
      </c>
      <c r="E298" s="9" t="s">
        <v>3783</v>
      </c>
      <c r="F298" s="9" t="s">
        <v>3784</v>
      </c>
      <c r="G298" s="9" t="s">
        <v>3785</v>
      </c>
      <c r="H298" s="9" t="s">
        <v>281</v>
      </c>
      <c r="I298" s="9" t="s">
        <v>282</v>
      </c>
      <c r="J298" s="9" t="s">
        <v>283</v>
      </c>
      <c r="K298" s="9" t="s">
        <v>1696</v>
      </c>
      <c r="L298" s="9" t="s">
        <v>3786</v>
      </c>
      <c r="M298" s="9" t="s">
        <v>3787</v>
      </c>
      <c r="N298" s="8">
        <v>1</v>
      </c>
      <c r="O298" s="9" t="s">
        <v>3788</v>
      </c>
      <c r="P298" s="11">
        <v>99.9</v>
      </c>
      <c r="Q298" s="11">
        <v>110</v>
      </c>
      <c r="R298" s="11">
        <v>90</v>
      </c>
      <c r="S298" s="11">
        <v>1342.79</v>
      </c>
      <c r="T298" s="11">
        <v>134144.72099999999</v>
      </c>
      <c r="U298" s="12">
        <v>0.05</v>
      </c>
      <c r="V298" s="12"/>
      <c r="W298" s="11"/>
      <c r="X298" s="9" t="s">
        <v>288</v>
      </c>
      <c r="Y298" s="10">
        <v>44145</v>
      </c>
      <c r="Z298" s="13">
        <v>9.8699999999999996E-2</v>
      </c>
      <c r="AC298" s="9" t="s">
        <v>2842</v>
      </c>
      <c r="AD298" s="9" t="s">
        <v>2842</v>
      </c>
      <c r="AE298" s="8">
        <v>487.71632</v>
      </c>
      <c r="AF298" s="14">
        <v>45.979399999999998</v>
      </c>
      <c r="AG298" s="14">
        <v>4.9810299999999996</v>
      </c>
      <c r="AH298" s="9" t="s">
        <v>3129</v>
      </c>
      <c r="AI298" s="15" t="s">
        <v>319</v>
      </c>
      <c r="AJ298" s="9" t="s">
        <v>293</v>
      </c>
      <c r="AK298" s="9" t="s">
        <v>3789</v>
      </c>
      <c r="AL298" s="9" t="s">
        <v>3790</v>
      </c>
      <c r="AM298" s="9"/>
      <c r="AN298" s="9" t="s">
        <v>3791</v>
      </c>
      <c r="AO298" s="9"/>
      <c r="AP298" s="9" t="s">
        <v>3792</v>
      </c>
      <c r="AQ298" s="9" t="s">
        <v>3512</v>
      </c>
      <c r="AR298" t="b">
        <v>0</v>
      </c>
      <c r="AS298" s="10"/>
      <c r="AT298" s="10" t="s">
        <v>299</v>
      </c>
      <c r="AU298" s="9"/>
      <c r="AW298" s="12"/>
      <c r="AX298" s="11"/>
      <c r="AY298" s="9"/>
      <c r="AZ298" t="b">
        <v>0</v>
      </c>
      <c r="BA298" s="9"/>
      <c r="BB298" s="12"/>
      <c r="BC298" s="11"/>
      <c r="BD298" s="9" t="s">
        <v>300</v>
      </c>
      <c r="BE298" s="9" t="s">
        <v>47</v>
      </c>
      <c r="BF298" s="9" t="s">
        <v>980</v>
      </c>
      <c r="BG298" s="9" t="s">
        <v>303</v>
      </c>
      <c r="BH298" s="9" t="s">
        <v>304</v>
      </c>
      <c r="BI298" s="9" t="s">
        <v>3527</v>
      </c>
      <c r="BJ298" s="9" t="s">
        <v>3528</v>
      </c>
      <c r="BK298" s="11">
        <v>400</v>
      </c>
      <c r="BL298" s="16" t="s">
        <v>299</v>
      </c>
      <c r="BM298" s="10"/>
      <c r="BN298" s="10"/>
      <c r="BO298" s="10"/>
      <c r="BP298" s="16"/>
      <c r="BQ298" s="16"/>
      <c r="BR298" s="9" t="s">
        <v>3793</v>
      </c>
      <c r="BS298" s="9" t="s">
        <v>3794</v>
      </c>
      <c r="BT298" s="9" t="s">
        <v>3795</v>
      </c>
      <c r="BU298" s="9" t="s">
        <v>3784</v>
      </c>
      <c r="BV298" s="9"/>
      <c r="BW298" s="10"/>
      <c r="BX298" s="15" t="s">
        <v>3796</v>
      </c>
      <c r="BY298" s="10">
        <v>44973</v>
      </c>
      <c r="BZ298" s="10">
        <v>52278</v>
      </c>
      <c r="CA298" s="10">
        <v>45001</v>
      </c>
      <c r="CC298" s="9" t="s">
        <v>308</v>
      </c>
      <c r="CD298" s="9" t="s">
        <v>309</v>
      </c>
    </row>
    <row r="299" spans="1:82">
      <c r="A299" s="8">
        <v>12449</v>
      </c>
      <c r="B299" s="9" t="s">
        <v>2326</v>
      </c>
      <c r="C299" s="9" t="s">
        <v>3797</v>
      </c>
      <c r="D299" s="10">
        <v>44957</v>
      </c>
      <c r="E299" s="9" t="s">
        <v>2327</v>
      </c>
      <c r="F299" s="9" t="s">
        <v>2328</v>
      </c>
      <c r="G299" s="9" t="s">
        <v>3798</v>
      </c>
      <c r="H299" s="9" t="s">
        <v>281</v>
      </c>
      <c r="I299" s="9" t="s">
        <v>282</v>
      </c>
      <c r="J299" s="9" t="s">
        <v>283</v>
      </c>
      <c r="K299" s="9" t="s">
        <v>1696</v>
      </c>
      <c r="L299" s="9" t="s">
        <v>3799</v>
      </c>
      <c r="M299" s="9" t="s">
        <v>3800</v>
      </c>
      <c r="N299" s="8">
        <v>1</v>
      </c>
      <c r="O299" s="9" t="s">
        <v>3801</v>
      </c>
      <c r="P299" s="11">
        <v>100</v>
      </c>
      <c r="Q299" s="11">
        <v>110</v>
      </c>
      <c r="R299" s="11">
        <v>89</v>
      </c>
      <c r="S299" s="11">
        <v>1405.73</v>
      </c>
      <c r="T299" s="11">
        <v>140573</v>
      </c>
      <c r="U299" s="12">
        <v>0.05</v>
      </c>
      <c r="V299" s="12"/>
      <c r="W299" s="11"/>
      <c r="X299" s="9" t="s">
        <v>288</v>
      </c>
      <c r="Y299" s="10">
        <v>44095</v>
      </c>
      <c r="Z299" s="13">
        <v>0.10249999999999999</v>
      </c>
      <c r="AC299" s="9" t="s">
        <v>289</v>
      </c>
      <c r="AD299" s="9" t="s">
        <v>290</v>
      </c>
      <c r="AE299" s="8">
        <v>504.45504</v>
      </c>
      <c r="AF299" s="14">
        <v>44.686439999999997</v>
      </c>
      <c r="AG299" s="14">
        <v>3.19232</v>
      </c>
      <c r="AH299" s="9" t="s">
        <v>3129</v>
      </c>
      <c r="AI299" s="15" t="s">
        <v>319</v>
      </c>
      <c r="AJ299" s="9" t="s">
        <v>293</v>
      </c>
      <c r="AK299" s="9" t="s">
        <v>2333</v>
      </c>
      <c r="AL299" s="9" t="s">
        <v>2060</v>
      </c>
      <c r="AM299" s="9"/>
      <c r="AN299" s="9" t="s">
        <v>2061</v>
      </c>
      <c r="AO299" s="9"/>
      <c r="AP299" s="9" t="s">
        <v>3133</v>
      </c>
      <c r="AQ299" s="9" t="s">
        <v>3134</v>
      </c>
      <c r="AR299" t="b">
        <v>0</v>
      </c>
      <c r="AS299" s="10"/>
      <c r="AT299" s="10" t="s">
        <v>299</v>
      </c>
      <c r="AU299" s="9"/>
      <c r="AW299" s="12"/>
      <c r="AX299" s="11"/>
      <c r="AY299" s="9"/>
      <c r="AZ299" t="b">
        <v>0</v>
      </c>
      <c r="BA299" s="9"/>
      <c r="BB299" s="12"/>
      <c r="BC299" s="11"/>
      <c r="BD299" s="9" t="s">
        <v>325</v>
      </c>
      <c r="BE299" s="9" t="s">
        <v>47</v>
      </c>
      <c r="BF299" s="9" t="s">
        <v>702</v>
      </c>
      <c r="BG299" s="9" t="s">
        <v>738</v>
      </c>
      <c r="BH299" s="9" t="s">
        <v>304</v>
      </c>
      <c r="BI299" s="9" t="s">
        <v>3802</v>
      </c>
      <c r="BJ299" s="9" t="s">
        <v>3803</v>
      </c>
      <c r="BK299" s="11">
        <v>400</v>
      </c>
      <c r="BL299" s="16" t="s">
        <v>299</v>
      </c>
      <c r="BM299" s="10"/>
      <c r="BN299" s="10"/>
      <c r="BO299" s="10"/>
      <c r="BP299" s="16"/>
      <c r="BQ299" s="16"/>
      <c r="BR299" s="9" t="s">
        <v>3804</v>
      </c>
      <c r="BS299" s="9" t="s">
        <v>3805</v>
      </c>
      <c r="BT299" s="9" t="s">
        <v>3806</v>
      </c>
      <c r="BU299" s="9" t="s">
        <v>3807</v>
      </c>
      <c r="BV299" s="9"/>
      <c r="BW299" s="10">
        <v>55280</v>
      </c>
      <c r="BX299" s="15" t="s">
        <v>2062</v>
      </c>
      <c r="BY299" s="10">
        <v>44957</v>
      </c>
      <c r="BZ299" s="10">
        <v>52261</v>
      </c>
      <c r="CA299" s="10">
        <v>45250</v>
      </c>
      <c r="CC299" s="9" t="s">
        <v>308</v>
      </c>
      <c r="CD299" s="9" t="s">
        <v>309</v>
      </c>
    </row>
    <row r="300" spans="1:82">
      <c r="A300" s="8">
        <v>18381</v>
      </c>
      <c r="B300" s="9" t="s">
        <v>3808</v>
      </c>
      <c r="C300" s="9" t="s">
        <v>3517</v>
      </c>
      <c r="D300" s="10">
        <v>44956</v>
      </c>
      <c r="E300" s="9" t="s">
        <v>3809</v>
      </c>
      <c r="F300" s="9" t="s">
        <v>3810</v>
      </c>
      <c r="G300" s="9" t="s">
        <v>3811</v>
      </c>
      <c r="H300" s="9" t="s">
        <v>281</v>
      </c>
      <c r="I300" s="9" t="s">
        <v>282</v>
      </c>
      <c r="J300" s="9" t="s">
        <v>283</v>
      </c>
      <c r="K300" s="9" t="s">
        <v>1696</v>
      </c>
      <c r="L300" s="9" t="s">
        <v>3812</v>
      </c>
      <c r="M300" s="9" t="s">
        <v>3813</v>
      </c>
      <c r="N300" s="8">
        <v>1</v>
      </c>
      <c r="O300" s="9" t="s">
        <v>3814</v>
      </c>
      <c r="P300" s="11">
        <v>99.75</v>
      </c>
      <c r="Q300" s="11">
        <v>110</v>
      </c>
      <c r="R300" s="11">
        <v>90</v>
      </c>
      <c r="S300" s="11">
        <v>1229.03</v>
      </c>
      <c r="T300" s="11">
        <v>122595.74249999999</v>
      </c>
      <c r="U300" s="12">
        <v>0.05</v>
      </c>
      <c r="V300" s="12"/>
      <c r="W300" s="11"/>
      <c r="X300" s="9" t="s">
        <v>288</v>
      </c>
      <c r="Y300" s="10">
        <v>44258</v>
      </c>
      <c r="Z300" s="13">
        <v>9.74E-2</v>
      </c>
      <c r="AC300" s="9" t="s">
        <v>289</v>
      </c>
      <c r="AD300" s="9" t="s">
        <v>290</v>
      </c>
      <c r="AE300" s="8">
        <v>484.56954000000002</v>
      </c>
      <c r="AF300" s="14">
        <v>47.598129999999998</v>
      </c>
      <c r="AG300" s="14">
        <v>0.27150999999999997</v>
      </c>
      <c r="AH300" s="9" t="s">
        <v>3129</v>
      </c>
      <c r="AI300" s="15" t="s">
        <v>319</v>
      </c>
      <c r="AJ300" s="9" t="s">
        <v>293</v>
      </c>
      <c r="AK300" s="9" t="s">
        <v>3815</v>
      </c>
      <c r="AL300" s="9" t="s">
        <v>3816</v>
      </c>
      <c r="AM300" s="9"/>
      <c r="AN300" s="9" t="s">
        <v>3817</v>
      </c>
      <c r="AO300" s="9"/>
      <c r="AP300" s="9" t="s">
        <v>597</v>
      </c>
      <c r="AQ300" s="9" t="s">
        <v>3723</v>
      </c>
      <c r="AR300" t="b">
        <v>0</v>
      </c>
      <c r="AS300" s="10"/>
      <c r="AT300" s="10" t="s">
        <v>299</v>
      </c>
      <c r="AU300" s="9"/>
      <c r="AW300" s="12"/>
      <c r="AX300" s="11"/>
      <c r="AY300" s="9"/>
      <c r="AZ300" t="b">
        <v>0</v>
      </c>
      <c r="BA300" s="9"/>
      <c r="BB300" s="12"/>
      <c r="BC300" s="11"/>
      <c r="BD300" s="9" t="s">
        <v>300</v>
      </c>
      <c r="BE300" s="9" t="s">
        <v>47</v>
      </c>
      <c r="BF300" s="9" t="s">
        <v>980</v>
      </c>
      <c r="BG300" s="9" t="s">
        <v>529</v>
      </c>
      <c r="BH300" s="9" t="s">
        <v>304</v>
      </c>
      <c r="BI300" s="9" t="s">
        <v>3527</v>
      </c>
      <c r="BJ300" s="9" t="s">
        <v>3528</v>
      </c>
      <c r="BK300" s="11">
        <v>400</v>
      </c>
      <c r="BL300" s="16" t="s">
        <v>299</v>
      </c>
      <c r="BM300" s="10"/>
      <c r="BN300" s="10"/>
      <c r="BO300" s="10"/>
      <c r="BP300" s="16"/>
      <c r="BQ300" s="16"/>
      <c r="BR300" s="9"/>
      <c r="BS300" s="9"/>
      <c r="BT300" s="9"/>
      <c r="BU300" s="9"/>
      <c r="BV300" s="9"/>
      <c r="BW300" s="10"/>
      <c r="BX300" s="15" t="s">
        <v>3818</v>
      </c>
      <c r="BY300" s="10">
        <v>44956</v>
      </c>
      <c r="BZ300" s="10">
        <v>52260</v>
      </c>
      <c r="CA300" s="10">
        <v>45274</v>
      </c>
      <c r="CC300" s="9" t="s">
        <v>308</v>
      </c>
      <c r="CD300" s="9" t="s">
        <v>309</v>
      </c>
    </row>
    <row r="301" spans="1:82">
      <c r="A301" s="8">
        <v>92860</v>
      </c>
      <c r="B301" s="9" t="s">
        <v>3819</v>
      </c>
      <c r="C301" s="9" t="s">
        <v>3609</v>
      </c>
      <c r="D301" s="10">
        <v>44952</v>
      </c>
      <c r="E301" s="9" t="s">
        <v>3820</v>
      </c>
      <c r="F301" s="9" t="s">
        <v>921</v>
      </c>
      <c r="G301" s="9" t="s">
        <v>3821</v>
      </c>
      <c r="H301" s="9" t="s">
        <v>315</v>
      </c>
      <c r="I301" s="9" t="s">
        <v>282</v>
      </c>
      <c r="J301" s="9" t="s">
        <v>283</v>
      </c>
      <c r="K301" s="9" t="s">
        <v>1696</v>
      </c>
      <c r="L301" s="9" t="s">
        <v>3822</v>
      </c>
      <c r="M301" s="9" t="s">
        <v>3823</v>
      </c>
      <c r="N301" s="8">
        <v>1</v>
      </c>
      <c r="O301" s="9" t="s">
        <v>3824</v>
      </c>
      <c r="P301" s="11">
        <v>99.96</v>
      </c>
      <c r="Q301" s="11">
        <v>110</v>
      </c>
      <c r="R301" s="11">
        <v>90</v>
      </c>
      <c r="S301" s="11">
        <v>1217.25</v>
      </c>
      <c r="T301" s="11">
        <v>121676.31</v>
      </c>
      <c r="U301" s="12">
        <v>5.0999999999999997E-2</v>
      </c>
      <c r="V301" s="12"/>
      <c r="W301" s="11"/>
      <c r="X301" s="9" t="s">
        <v>288</v>
      </c>
      <c r="Y301" s="10">
        <v>44368</v>
      </c>
      <c r="Z301" s="13">
        <v>9.5200000000000007E-2</v>
      </c>
      <c r="AC301" s="9" t="s">
        <v>289</v>
      </c>
      <c r="AD301" s="9" t="s">
        <v>290</v>
      </c>
      <c r="AE301" s="8">
        <v>462.73421000000002</v>
      </c>
      <c r="AF301" s="14">
        <v>46.746699999999997</v>
      </c>
      <c r="AG301" s="14">
        <v>-1.5659799999999999</v>
      </c>
      <c r="AH301" s="9" t="s">
        <v>3129</v>
      </c>
      <c r="AI301" s="15" t="s">
        <v>319</v>
      </c>
      <c r="AJ301" s="9" t="s">
        <v>293</v>
      </c>
      <c r="AK301" s="9" t="s">
        <v>3825</v>
      </c>
      <c r="AL301" s="9" t="s">
        <v>3826</v>
      </c>
      <c r="AM301" s="9"/>
      <c r="AN301" s="9" t="s">
        <v>3827</v>
      </c>
      <c r="AO301" s="9"/>
      <c r="AP301" s="9" t="s">
        <v>3619</v>
      </c>
      <c r="AQ301" s="9" t="s">
        <v>3178</v>
      </c>
      <c r="AR301" t="b">
        <v>1</v>
      </c>
      <c r="AS301" s="10">
        <v>44952</v>
      </c>
      <c r="AT301" s="10">
        <v>45683</v>
      </c>
      <c r="AU301" s="9" t="s">
        <v>1139</v>
      </c>
      <c r="AV301" t="b">
        <v>1</v>
      </c>
      <c r="AW301" s="12"/>
      <c r="AX301" s="11">
        <v>1350</v>
      </c>
      <c r="AY301" s="9" t="s">
        <v>471</v>
      </c>
      <c r="AZ301" t="b">
        <v>1</v>
      </c>
      <c r="BA301" s="9" t="s">
        <v>242</v>
      </c>
      <c r="BB301" s="12">
        <v>0.1</v>
      </c>
      <c r="BC301" s="11"/>
      <c r="BD301" s="9" t="s">
        <v>300</v>
      </c>
      <c r="BE301" s="9" t="s">
        <v>86</v>
      </c>
      <c r="BF301" s="9" t="s">
        <v>402</v>
      </c>
      <c r="BG301" s="9" t="s">
        <v>529</v>
      </c>
      <c r="BH301" s="9" t="s">
        <v>304</v>
      </c>
      <c r="BI301" s="9" t="s">
        <v>3620</v>
      </c>
      <c r="BJ301" s="9" t="s">
        <v>3621</v>
      </c>
      <c r="BK301" s="11">
        <v>400</v>
      </c>
      <c r="BL301" s="16" t="s">
        <v>299</v>
      </c>
      <c r="BM301" s="10"/>
      <c r="BN301" s="10"/>
      <c r="BO301" s="10"/>
      <c r="BP301" s="16"/>
      <c r="BQ301" s="16"/>
      <c r="BR301" s="9" t="s">
        <v>3828</v>
      </c>
      <c r="BS301" s="9" t="s">
        <v>3820</v>
      </c>
      <c r="BT301" s="9" t="s">
        <v>3829</v>
      </c>
      <c r="BU301" s="9" t="s">
        <v>921</v>
      </c>
      <c r="BV301" s="9" t="s">
        <v>3830</v>
      </c>
      <c r="BW301" s="10"/>
      <c r="BX301" s="15" t="s">
        <v>3713</v>
      </c>
      <c r="BY301" s="10">
        <v>44952</v>
      </c>
      <c r="BZ301" s="10">
        <v>52256</v>
      </c>
      <c r="CA301" s="10">
        <v>45637</v>
      </c>
      <c r="CC301" s="9" t="s">
        <v>308</v>
      </c>
      <c r="CD301" s="9" t="s">
        <v>309</v>
      </c>
    </row>
    <row r="302" spans="1:82">
      <c r="A302" s="8">
        <v>12164</v>
      </c>
      <c r="B302" s="9" t="s">
        <v>3831</v>
      </c>
      <c r="C302" s="9" t="s">
        <v>3502</v>
      </c>
      <c r="D302" s="10">
        <v>44910</v>
      </c>
      <c r="E302" s="9" t="s">
        <v>3832</v>
      </c>
      <c r="F302" s="9" t="s">
        <v>1188</v>
      </c>
      <c r="G302" s="9" t="s">
        <v>3833</v>
      </c>
      <c r="H302" s="9" t="s">
        <v>281</v>
      </c>
      <c r="I302" s="9" t="s">
        <v>282</v>
      </c>
      <c r="J302" s="9" t="s">
        <v>283</v>
      </c>
      <c r="K302" s="9" t="s">
        <v>1696</v>
      </c>
      <c r="L302" s="9" t="s">
        <v>3834</v>
      </c>
      <c r="M302" s="9" t="s">
        <v>3835</v>
      </c>
      <c r="N302" s="8">
        <v>1</v>
      </c>
      <c r="O302" s="9" t="s">
        <v>3836</v>
      </c>
      <c r="P302" s="11">
        <v>99.9</v>
      </c>
      <c r="Q302" s="11">
        <v>110</v>
      </c>
      <c r="R302" s="11">
        <v>89</v>
      </c>
      <c r="S302" s="11">
        <v>1384.52</v>
      </c>
      <c r="T302" s="11">
        <v>138313.54800000001</v>
      </c>
      <c r="U302" s="12">
        <v>0.05</v>
      </c>
      <c r="V302" s="12"/>
      <c r="W302" s="11"/>
      <c r="X302" s="9" t="s">
        <v>288</v>
      </c>
      <c r="Y302" s="10">
        <v>44083</v>
      </c>
      <c r="Z302" s="13">
        <v>0.10249999999999999</v>
      </c>
      <c r="AC302" s="9" t="s">
        <v>289</v>
      </c>
      <c r="AD302" s="9" t="s">
        <v>290</v>
      </c>
      <c r="AE302" s="8">
        <v>491.85629999999998</v>
      </c>
      <c r="AF302" s="14">
        <v>43.976199999999999</v>
      </c>
      <c r="AG302" s="14">
        <v>2.64703</v>
      </c>
      <c r="AH302" s="9" t="s">
        <v>3129</v>
      </c>
      <c r="AI302" s="15" t="s">
        <v>319</v>
      </c>
      <c r="AJ302" s="9" t="s">
        <v>293</v>
      </c>
      <c r="AK302" s="9" t="s">
        <v>3837</v>
      </c>
      <c r="AL302" s="9" t="s">
        <v>3838</v>
      </c>
      <c r="AM302" s="9"/>
      <c r="AN302" s="9" t="s">
        <v>3839</v>
      </c>
      <c r="AO302" s="9"/>
      <c r="AP302" s="9" t="s">
        <v>3133</v>
      </c>
      <c r="AQ302" s="9" t="s">
        <v>3134</v>
      </c>
      <c r="AR302" t="b">
        <v>0</v>
      </c>
      <c r="AS302" s="10"/>
      <c r="AT302" s="10" t="s">
        <v>299</v>
      </c>
      <c r="AU302" s="9"/>
      <c r="AW302" s="12"/>
      <c r="AX302" s="11"/>
      <c r="AY302" s="9"/>
      <c r="AZ302" t="b">
        <v>0</v>
      </c>
      <c r="BA302" s="9"/>
      <c r="BB302" s="12"/>
      <c r="BC302" s="11"/>
      <c r="BD302" s="9" t="s">
        <v>325</v>
      </c>
      <c r="BE302" s="9" t="s">
        <v>86</v>
      </c>
      <c r="BF302" s="9" t="s">
        <v>702</v>
      </c>
      <c r="BG302" s="9" t="s">
        <v>738</v>
      </c>
      <c r="BH302" s="9" t="s">
        <v>304</v>
      </c>
      <c r="BI302" s="9" t="s">
        <v>3513</v>
      </c>
      <c r="BJ302" s="9" t="s">
        <v>3514</v>
      </c>
      <c r="BK302" s="11">
        <v>400</v>
      </c>
      <c r="BL302" s="16" t="s">
        <v>299</v>
      </c>
      <c r="BM302" s="10"/>
      <c r="BN302" s="10"/>
      <c r="BO302" s="10"/>
      <c r="BP302" s="16"/>
      <c r="BQ302" s="16"/>
      <c r="BR302" s="9"/>
      <c r="BS302" s="9"/>
      <c r="BT302" s="9"/>
      <c r="BU302" s="9"/>
      <c r="BV302" s="9"/>
      <c r="BW302" s="10"/>
      <c r="BX302" s="15" t="s">
        <v>3840</v>
      </c>
      <c r="BY302" s="10">
        <v>44910</v>
      </c>
      <c r="BZ302" s="10">
        <v>52214</v>
      </c>
      <c r="CA302" s="10">
        <v>45554</v>
      </c>
      <c r="CC302" s="9" t="s">
        <v>308</v>
      </c>
      <c r="CD302" s="9" t="s">
        <v>309</v>
      </c>
    </row>
    <row r="303" spans="1:82">
      <c r="A303" s="8">
        <v>14102</v>
      </c>
      <c r="B303" s="9" t="s">
        <v>3841</v>
      </c>
      <c r="C303" s="9" t="s">
        <v>3517</v>
      </c>
      <c r="D303" s="10">
        <v>44909</v>
      </c>
      <c r="E303" s="9" t="s">
        <v>3842</v>
      </c>
      <c r="F303" s="9" t="s">
        <v>448</v>
      </c>
      <c r="G303" s="9" t="s">
        <v>3843</v>
      </c>
      <c r="H303" s="9" t="s">
        <v>315</v>
      </c>
      <c r="I303" s="9" t="s">
        <v>282</v>
      </c>
      <c r="J303" s="9" t="s">
        <v>283</v>
      </c>
      <c r="K303" s="9" t="s">
        <v>1696</v>
      </c>
      <c r="L303" s="9" t="s">
        <v>3844</v>
      </c>
      <c r="M303" s="9" t="s">
        <v>3845</v>
      </c>
      <c r="N303" s="8">
        <v>1</v>
      </c>
      <c r="O303" s="9" t="s">
        <v>3846</v>
      </c>
      <c r="P303" s="11">
        <v>99.75</v>
      </c>
      <c r="Q303" s="11">
        <v>110</v>
      </c>
      <c r="R303" s="11">
        <v>90</v>
      </c>
      <c r="S303" s="11">
        <v>1121.8399999999999</v>
      </c>
      <c r="T303" s="11">
        <v>111903.54</v>
      </c>
      <c r="U303" s="12">
        <v>0.05</v>
      </c>
      <c r="V303" s="12"/>
      <c r="W303" s="11"/>
      <c r="X303" s="9" t="s">
        <v>288</v>
      </c>
      <c r="Y303" s="10">
        <v>44222</v>
      </c>
      <c r="Z303" s="13">
        <v>9.74E-2</v>
      </c>
      <c r="AC303" s="9" t="s">
        <v>289</v>
      </c>
      <c r="AD303" s="9" t="s">
        <v>290</v>
      </c>
      <c r="AE303" s="8">
        <v>487.71632</v>
      </c>
      <c r="AF303" s="14">
        <v>44.938290000000002</v>
      </c>
      <c r="AG303" s="14">
        <v>3.4337300000000002</v>
      </c>
      <c r="AH303" s="9" t="s">
        <v>3129</v>
      </c>
      <c r="AI303" s="15" t="s">
        <v>319</v>
      </c>
      <c r="AJ303" s="9" t="s">
        <v>293</v>
      </c>
      <c r="AK303" s="9" t="s">
        <v>453</v>
      </c>
      <c r="AL303" s="9" t="s">
        <v>3847</v>
      </c>
      <c r="AM303" s="9"/>
      <c r="AN303" s="9" t="s">
        <v>3848</v>
      </c>
      <c r="AO303" s="9"/>
      <c r="AP303" s="9" t="s">
        <v>3133</v>
      </c>
      <c r="AQ303" s="9" t="s">
        <v>3178</v>
      </c>
      <c r="AR303" t="b">
        <v>1</v>
      </c>
      <c r="AS303" s="10">
        <v>44926</v>
      </c>
      <c r="AT303" s="10">
        <v>46022</v>
      </c>
      <c r="AU303" s="9" t="s">
        <v>3849</v>
      </c>
      <c r="AW303" s="12">
        <v>0.12</v>
      </c>
      <c r="AX303" s="11"/>
      <c r="AY303" s="9" t="s">
        <v>471</v>
      </c>
      <c r="AZ303" t="b">
        <v>1</v>
      </c>
      <c r="BA303" s="9" t="s">
        <v>242</v>
      </c>
      <c r="BB303" s="12">
        <v>0.12</v>
      </c>
      <c r="BC303" s="11"/>
      <c r="BD303" s="9" t="s">
        <v>325</v>
      </c>
      <c r="BE303" s="9" t="s">
        <v>47</v>
      </c>
      <c r="BF303" s="9" t="s">
        <v>702</v>
      </c>
      <c r="BG303" s="9" t="s">
        <v>738</v>
      </c>
      <c r="BH303" s="9" t="s">
        <v>304</v>
      </c>
      <c r="BI303" s="9" t="s">
        <v>3527</v>
      </c>
      <c r="BJ303" s="9" t="s">
        <v>3528</v>
      </c>
      <c r="BK303" s="11">
        <v>400</v>
      </c>
      <c r="BL303" s="16" t="s">
        <v>299</v>
      </c>
      <c r="BM303" s="10"/>
      <c r="BN303" s="10"/>
      <c r="BO303" s="10"/>
      <c r="BP303" s="16"/>
      <c r="BQ303" s="16"/>
      <c r="BR303" s="9" t="s">
        <v>3850</v>
      </c>
      <c r="BS303" s="9" t="s">
        <v>3851</v>
      </c>
      <c r="BT303" s="9" t="s">
        <v>3852</v>
      </c>
      <c r="BU303" s="9" t="s">
        <v>448</v>
      </c>
      <c r="BV303" s="9" t="s">
        <v>3853</v>
      </c>
      <c r="BW303" s="10"/>
      <c r="BX303" s="15" t="s">
        <v>3854</v>
      </c>
      <c r="BY303" s="10">
        <v>44908</v>
      </c>
      <c r="BZ303" s="10">
        <v>52213</v>
      </c>
      <c r="CA303" s="10">
        <v>45250</v>
      </c>
      <c r="CC303" s="9" t="s">
        <v>308</v>
      </c>
      <c r="CD303" s="9" t="s">
        <v>309</v>
      </c>
    </row>
    <row r="304" spans="1:82">
      <c r="A304" s="8">
        <v>30715</v>
      </c>
      <c r="B304" s="9" t="s">
        <v>3855</v>
      </c>
      <c r="C304" s="9" t="s">
        <v>3122</v>
      </c>
      <c r="D304" s="10">
        <v>44907</v>
      </c>
      <c r="E304" s="9" t="s">
        <v>3856</v>
      </c>
      <c r="F304" s="9" t="s">
        <v>2746</v>
      </c>
      <c r="G304" s="9" t="s">
        <v>3857</v>
      </c>
      <c r="H304" s="9" t="s">
        <v>315</v>
      </c>
      <c r="I304" s="9" t="s">
        <v>282</v>
      </c>
      <c r="J304" s="9" t="s">
        <v>547</v>
      </c>
      <c r="K304" s="9" t="s">
        <v>1696</v>
      </c>
      <c r="L304" s="9" t="s">
        <v>3858</v>
      </c>
      <c r="M304" s="9" t="s">
        <v>3859</v>
      </c>
      <c r="N304" s="8">
        <v>1</v>
      </c>
      <c r="O304" s="9" t="s">
        <v>3860</v>
      </c>
      <c r="P304" s="11">
        <v>96.39</v>
      </c>
      <c r="Q304" s="11">
        <v>110</v>
      </c>
      <c r="R304" s="11">
        <v>90</v>
      </c>
      <c r="S304" s="11">
        <v>1187.92</v>
      </c>
      <c r="T304" s="11">
        <v>114503.6088</v>
      </c>
      <c r="U304" s="12">
        <v>0.05</v>
      </c>
      <c r="V304" s="12"/>
      <c r="W304" s="11"/>
      <c r="X304" s="9" t="s">
        <v>288</v>
      </c>
      <c r="Y304" s="10">
        <v>44362</v>
      </c>
      <c r="Z304" s="13">
        <v>9.5200000000000007E-2</v>
      </c>
      <c r="AC304" s="9" t="s">
        <v>289</v>
      </c>
      <c r="AD304" s="9" t="s">
        <v>290</v>
      </c>
      <c r="AE304" s="8">
        <v>457.52739000000003</v>
      </c>
      <c r="AF304" s="14">
        <v>43.074689999999997</v>
      </c>
      <c r="AG304" s="14">
        <v>1.7919099999999999</v>
      </c>
      <c r="AH304" s="9" t="s">
        <v>3129</v>
      </c>
      <c r="AI304" s="15" t="s">
        <v>319</v>
      </c>
      <c r="AJ304" s="9" t="s">
        <v>293</v>
      </c>
      <c r="AK304" s="9" t="s">
        <v>3861</v>
      </c>
      <c r="AL304" s="9" t="s">
        <v>3862</v>
      </c>
      <c r="AM304" s="9"/>
      <c r="AN304" s="9" t="s">
        <v>3863</v>
      </c>
      <c r="AO304" s="9"/>
      <c r="AP304" s="9" t="s">
        <v>3133</v>
      </c>
      <c r="AQ304" s="9" t="s">
        <v>3178</v>
      </c>
      <c r="AR304" t="b">
        <v>0</v>
      </c>
      <c r="AS304" s="10">
        <v>44926</v>
      </c>
      <c r="AT304" s="10">
        <v>46022</v>
      </c>
      <c r="AU304" s="9" t="s">
        <v>612</v>
      </c>
      <c r="AW304" s="12"/>
      <c r="AX304" s="11">
        <v>15000</v>
      </c>
      <c r="AY304" s="9"/>
      <c r="AZ304" t="b">
        <v>0</v>
      </c>
      <c r="BA304" s="9"/>
      <c r="BB304" s="12"/>
      <c r="BC304" s="11"/>
      <c r="BD304" s="9" t="s">
        <v>325</v>
      </c>
      <c r="BE304" s="9" t="s">
        <v>301</v>
      </c>
      <c r="BF304" s="9" t="s">
        <v>702</v>
      </c>
      <c r="BG304" s="9" t="s">
        <v>738</v>
      </c>
      <c r="BH304" s="9" t="s">
        <v>304</v>
      </c>
      <c r="BI304" s="9" t="s">
        <v>3135</v>
      </c>
      <c r="BJ304" s="9" t="s">
        <v>3136</v>
      </c>
      <c r="BK304" s="11">
        <v>400</v>
      </c>
      <c r="BL304" s="16" t="s">
        <v>299</v>
      </c>
      <c r="BM304" s="10"/>
      <c r="BN304" s="10"/>
      <c r="BO304" s="10"/>
      <c r="BP304" s="16"/>
      <c r="BQ304" s="16"/>
      <c r="BR304" s="9" t="s">
        <v>3864</v>
      </c>
      <c r="BS304" s="9"/>
      <c r="BT304" s="9"/>
      <c r="BU304" s="9"/>
      <c r="BV304" s="9"/>
      <c r="BW304" s="10"/>
      <c r="BX304" s="15" t="s">
        <v>3865</v>
      </c>
      <c r="BY304" s="10">
        <v>44907</v>
      </c>
      <c r="BZ304" s="10">
        <v>52211</v>
      </c>
      <c r="CA304" s="10">
        <v>45349</v>
      </c>
      <c r="CC304" s="9" t="s">
        <v>308</v>
      </c>
      <c r="CD304" s="9" t="s">
        <v>309</v>
      </c>
    </row>
    <row r="305" spans="1:82">
      <c r="A305" s="8">
        <v>13579</v>
      </c>
      <c r="B305" s="9" t="s">
        <v>3866</v>
      </c>
      <c r="C305" s="9" t="s">
        <v>3797</v>
      </c>
      <c r="D305" s="10">
        <v>44904</v>
      </c>
      <c r="E305" s="9" t="s">
        <v>3867</v>
      </c>
      <c r="F305" s="9" t="s">
        <v>3868</v>
      </c>
      <c r="G305" s="9" t="s">
        <v>3869</v>
      </c>
      <c r="H305" s="9" t="s">
        <v>281</v>
      </c>
      <c r="I305" s="9" t="s">
        <v>282</v>
      </c>
      <c r="J305" s="9" t="s">
        <v>283</v>
      </c>
      <c r="K305" s="9" t="s">
        <v>1696</v>
      </c>
      <c r="L305" s="9" t="s">
        <v>3870</v>
      </c>
      <c r="M305" s="9" t="s">
        <v>3871</v>
      </c>
      <c r="N305" s="8">
        <v>1</v>
      </c>
      <c r="O305" s="9" t="s">
        <v>3872</v>
      </c>
      <c r="P305" s="11">
        <v>99.9</v>
      </c>
      <c r="Q305" s="11">
        <v>110</v>
      </c>
      <c r="R305" s="11">
        <v>89</v>
      </c>
      <c r="S305" s="11">
        <v>1325.94</v>
      </c>
      <c r="T305" s="11">
        <v>132461.40599999999</v>
      </c>
      <c r="U305" s="12">
        <v>0.05</v>
      </c>
      <c r="V305" s="12"/>
      <c r="W305" s="11"/>
      <c r="X305" s="9" t="s">
        <v>288</v>
      </c>
      <c r="Y305" s="10">
        <v>44082</v>
      </c>
      <c r="Z305" s="13">
        <v>0.10249999999999999</v>
      </c>
      <c r="AC305" s="9" t="s">
        <v>289</v>
      </c>
      <c r="AD305" s="9" t="s">
        <v>290</v>
      </c>
      <c r="AE305" s="8">
        <v>491.85629999999998</v>
      </c>
      <c r="AF305" s="14">
        <v>43.866930000000004</v>
      </c>
      <c r="AG305" s="14">
        <v>1.3379099999999999</v>
      </c>
      <c r="AH305" s="9" t="s">
        <v>3129</v>
      </c>
      <c r="AI305" s="15" t="s">
        <v>3873</v>
      </c>
      <c r="AJ305" s="9" t="s">
        <v>293</v>
      </c>
      <c r="AK305" s="9" t="s">
        <v>3874</v>
      </c>
      <c r="AL305" s="9" t="s">
        <v>3875</v>
      </c>
      <c r="AM305" s="9"/>
      <c r="AN305" s="9" t="s">
        <v>3876</v>
      </c>
      <c r="AO305" s="9"/>
      <c r="AP305" s="9" t="s">
        <v>3133</v>
      </c>
      <c r="AQ305" s="9" t="s">
        <v>3134</v>
      </c>
      <c r="AR305" t="b">
        <v>0</v>
      </c>
      <c r="AS305" s="10"/>
      <c r="AT305" s="10" t="s">
        <v>299</v>
      </c>
      <c r="AU305" s="9"/>
      <c r="AW305" s="12"/>
      <c r="AX305" s="11"/>
      <c r="AY305" s="9"/>
      <c r="AZ305" t="b">
        <v>0</v>
      </c>
      <c r="BA305" s="9"/>
      <c r="BB305" s="12"/>
      <c r="BC305" s="11"/>
      <c r="BD305" s="9" t="s">
        <v>325</v>
      </c>
      <c r="BE305" s="9" t="s">
        <v>47</v>
      </c>
      <c r="BF305" s="9" t="s">
        <v>980</v>
      </c>
      <c r="BG305" s="9" t="s">
        <v>749</v>
      </c>
      <c r="BH305" s="9" t="s">
        <v>304</v>
      </c>
      <c r="BI305" s="9" t="s">
        <v>3802</v>
      </c>
      <c r="BJ305" s="9" t="s">
        <v>3803</v>
      </c>
      <c r="BK305" s="11">
        <v>400</v>
      </c>
      <c r="BL305" s="16" t="s">
        <v>299</v>
      </c>
      <c r="BM305" s="10"/>
      <c r="BN305" s="10"/>
      <c r="BO305" s="10"/>
      <c r="BP305" s="16"/>
      <c r="BQ305" s="16"/>
      <c r="BR305" s="9" t="s">
        <v>3874</v>
      </c>
      <c r="BS305" s="9" t="s">
        <v>3877</v>
      </c>
      <c r="BT305" s="9" t="s">
        <v>3878</v>
      </c>
      <c r="BU305" s="9" t="s">
        <v>3868</v>
      </c>
      <c r="BV305" s="9"/>
      <c r="BW305" s="10">
        <v>55291</v>
      </c>
      <c r="BX305" s="15" t="s">
        <v>3879</v>
      </c>
      <c r="BY305" s="10">
        <v>44816</v>
      </c>
      <c r="BZ305" s="10">
        <v>52121</v>
      </c>
      <c r="CA305" s="10">
        <v>45497</v>
      </c>
      <c r="CC305" s="9" t="s">
        <v>308</v>
      </c>
      <c r="CD305" s="9" t="s">
        <v>309</v>
      </c>
    </row>
    <row r="306" spans="1:82">
      <c r="A306" s="8">
        <v>21777</v>
      </c>
      <c r="B306" s="9" t="s">
        <v>3880</v>
      </c>
      <c r="C306" s="9" t="s">
        <v>3517</v>
      </c>
      <c r="D306" s="10">
        <v>44900</v>
      </c>
      <c r="E306" s="9" t="s">
        <v>3881</v>
      </c>
      <c r="F306" s="9" t="s">
        <v>3882</v>
      </c>
      <c r="G306" s="9" t="s">
        <v>3883</v>
      </c>
      <c r="H306" s="9" t="s">
        <v>281</v>
      </c>
      <c r="I306" s="9" t="s">
        <v>282</v>
      </c>
      <c r="J306" s="9" t="s">
        <v>283</v>
      </c>
      <c r="K306" s="9" t="s">
        <v>1696</v>
      </c>
      <c r="L306" s="9" t="s">
        <v>3884</v>
      </c>
      <c r="M306" s="9" t="s">
        <v>3885</v>
      </c>
      <c r="N306" s="8">
        <v>1</v>
      </c>
      <c r="O306" s="9" t="s">
        <v>3886</v>
      </c>
      <c r="P306" s="11">
        <v>99.75</v>
      </c>
      <c r="Q306" s="11">
        <v>110</v>
      </c>
      <c r="R306" s="11">
        <v>90</v>
      </c>
      <c r="S306" s="11">
        <v>1291.01</v>
      </c>
      <c r="T306" s="11">
        <v>128778.2475</v>
      </c>
      <c r="U306" s="12">
        <v>0.05</v>
      </c>
      <c r="V306" s="12"/>
      <c r="W306" s="11"/>
      <c r="X306" s="9" t="s">
        <v>288</v>
      </c>
      <c r="Y306" s="10">
        <v>44224</v>
      </c>
      <c r="Z306" s="13">
        <v>9.74E-2</v>
      </c>
      <c r="AC306" s="9" t="s">
        <v>289</v>
      </c>
      <c r="AD306" s="9" t="s">
        <v>290</v>
      </c>
      <c r="AE306" s="8">
        <v>484.56954000000002</v>
      </c>
      <c r="AF306" s="14">
        <v>45.17812</v>
      </c>
      <c r="AG306" s="14">
        <v>1.2211399999999999</v>
      </c>
      <c r="AH306" s="9" t="s">
        <v>3129</v>
      </c>
      <c r="AI306" s="15" t="s">
        <v>319</v>
      </c>
      <c r="AJ306" s="9" t="s">
        <v>293</v>
      </c>
      <c r="AK306" s="9" t="s">
        <v>3887</v>
      </c>
      <c r="AL306" s="9" t="s">
        <v>3888</v>
      </c>
      <c r="AM306" s="9"/>
      <c r="AN306" s="9" t="s">
        <v>3889</v>
      </c>
      <c r="AO306" s="9"/>
      <c r="AP306" s="9" t="s">
        <v>3133</v>
      </c>
      <c r="AQ306" s="9" t="s">
        <v>3134</v>
      </c>
      <c r="AR306" t="b">
        <v>0</v>
      </c>
      <c r="AS306" s="10"/>
      <c r="AT306" s="10" t="s">
        <v>299</v>
      </c>
      <c r="AU306" s="9"/>
      <c r="AW306" s="12"/>
      <c r="AX306" s="11"/>
      <c r="AY306" s="9"/>
      <c r="AZ306" t="b">
        <v>0</v>
      </c>
      <c r="BA306" s="9"/>
      <c r="BB306" s="12"/>
      <c r="BC306" s="11"/>
      <c r="BD306" s="9" t="s">
        <v>325</v>
      </c>
      <c r="BE306" s="9" t="s">
        <v>47</v>
      </c>
      <c r="BF306" s="9" t="s">
        <v>702</v>
      </c>
      <c r="BG306" s="9" t="s">
        <v>749</v>
      </c>
      <c r="BH306" s="9" t="s">
        <v>304</v>
      </c>
      <c r="BI306" s="9" t="s">
        <v>3527</v>
      </c>
      <c r="BJ306" s="9" t="s">
        <v>3528</v>
      </c>
      <c r="BK306" s="11">
        <v>400</v>
      </c>
      <c r="BL306" s="16" t="s">
        <v>299</v>
      </c>
      <c r="BM306" s="10"/>
      <c r="BN306" s="10"/>
      <c r="BO306" s="10"/>
      <c r="BP306" s="16"/>
      <c r="BQ306" s="16"/>
      <c r="BR306" s="9"/>
      <c r="BS306" s="9"/>
      <c r="BT306" s="9"/>
      <c r="BU306" s="9"/>
      <c r="BV306" s="9"/>
      <c r="BW306" s="10"/>
      <c r="BX306" s="15" t="s">
        <v>458</v>
      </c>
      <c r="BY306" s="10">
        <v>44693</v>
      </c>
      <c r="BZ306" s="10">
        <v>51998</v>
      </c>
      <c r="CA306" s="10">
        <v>45250</v>
      </c>
      <c r="CC306" s="9" t="s">
        <v>308</v>
      </c>
      <c r="CD306" s="9" t="s">
        <v>309</v>
      </c>
    </row>
    <row r="307" spans="1:82">
      <c r="A307" s="8">
        <v>12101</v>
      </c>
      <c r="B307" s="9" t="s">
        <v>3890</v>
      </c>
      <c r="C307" s="9" t="s">
        <v>3797</v>
      </c>
      <c r="D307" s="10">
        <v>44893</v>
      </c>
      <c r="E307" s="9" t="s">
        <v>3891</v>
      </c>
      <c r="F307" s="9" t="s">
        <v>1020</v>
      </c>
      <c r="G307" s="9" t="s">
        <v>3892</v>
      </c>
      <c r="H307" s="9" t="s">
        <v>281</v>
      </c>
      <c r="I307" s="9" t="s">
        <v>282</v>
      </c>
      <c r="J307" s="9" t="s">
        <v>283</v>
      </c>
      <c r="K307" s="9" t="s">
        <v>1696</v>
      </c>
      <c r="L307" s="9" t="s">
        <v>3893</v>
      </c>
      <c r="M307" s="9" t="s">
        <v>3894</v>
      </c>
      <c r="N307" s="8">
        <v>1</v>
      </c>
      <c r="O307" s="9" t="s">
        <v>3895</v>
      </c>
      <c r="P307" s="11">
        <v>99.9</v>
      </c>
      <c r="Q307" s="11">
        <v>110</v>
      </c>
      <c r="R307" s="11">
        <v>90</v>
      </c>
      <c r="S307" s="11">
        <v>1445.11</v>
      </c>
      <c r="T307" s="11">
        <v>144366.489</v>
      </c>
      <c r="U307" s="12">
        <v>0.05</v>
      </c>
      <c r="V307" s="12"/>
      <c r="W307" s="11"/>
      <c r="X307" s="9" t="s">
        <v>288</v>
      </c>
      <c r="Y307" s="10">
        <v>44082</v>
      </c>
      <c r="Z307" s="13">
        <v>0.10249999999999999</v>
      </c>
      <c r="AC307" s="9" t="s">
        <v>289</v>
      </c>
      <c r="AD307" s="9" t="s">
        <v>290</v>
      </c>
      <c r="AE307" s="8">
        <v>491.85629999999998</v>
      </c>
      <c r="AF307" s="14">
        <v>46.443860000000001</v>
      </c>
      <c r="AG307" s="14">
        <v>3.5597300000000001</v>
      </c>
      <c r="AH307" s="9" t="s">
        <v>3129</v>
      </c>
      <c r="AI307" s="15" t="s">
        <v>319</v>
      </c>
      <c r="AJ307" s="9" t="s">
        <v>293</v>
      </c>
      <c r="AK307" s="9" t="s">
        <v>3896</v>
      </c>
      <c r="AL307" s="9" t="s">
        <v>3897</v>
      </c>
      <c r="AM307" s="9"/>
      <c r="AN307" s="9" t="s">
        <v>3898</v>
      </c>
      <c r="AO307" s="9"/>
      <c r="AP307" s="9" t="s">
        <v>3133</v>
      </c>
      <c r="AQ307" s="9" t="s">
        <v>3134</v>
      </c>
      <c r="AR307" t="b">
        <v>0</v>
      </c>
      <c r="AS307" s="10"/>
      <c r="AT307" s="10" t="s">
        <v>299</v>
      </c>
      <c r="AU307" s="9"/>
      <c r="AW307" s="12"/>
      <c r="AX307" s="11"/>
      <c r="AY307" s="9"/>
      <c r="AZ307" t="b">
        <v>0</v>
      </c>
      <c r="BA307" s="9"/>
      <c r="BB307" s="12"/>
      <c r="BC307" s="11"/>
      <c r="BD307" s="9" t="s">
        <v>300</v>
      </c>
      <c r="BE307" s="9" t="s">
        <v>47</v>
      </c>
      <c r="BF307" s="9" t="s">
        <v>402</v>
      </c>
      <c r="BG307" s="9" t="s">
        <v>303</v>
      </c>
      <c r="BH307" s="9" t="s">
        <v>304</v>
      </c>
      <c r="BI307" s="9" t="s">
        <v>3802</v>
      </c>
      <c r="BJ307" s="9" t="s">
        <v>3803</v>
      </c>
      <c r="BK307" s="11">
        <v>400</v>
      </c>
      <c r="BL307" s="16" t="s">
        <v>299</v>
      </c>
      <c r="BM307" s="10"/>
      <c r="BN307" s="10"/>
      <c r="BO307" s="10"/>
      <c r="BP307" s="16"/>
      <c r="BQ307" s="16"/>
      <c r="BR307" s="9" t="s">
        <v>3899</v>
      </c>
      <c r="BS307" s="9"/>
      <c r="BT307" s="9" t="s">
        <v>3900</v>
      </c>
      <c r="BU307" s="9" t="s">
        <v>1020</v>
      </c>
      <c r="BV307" s="9"/>
      <c r="BW307" s="10">
        <v>55851</v>
      </c>
      <c r="BX307" s="15" t="s">
        <v>3901</v>
      </c>
      <c r="BY307" s="10">
        <v>44893</v>
      </c>
      <c r="BZ307" s="10">
        <v>51864</v>
      </c>
      <c r="CA307" s="10">
        <v>44960</v>
      </c>
      <c r="CC307" s="9" t="s">
        <v>308</v>
      </c>
      <c r="CD307" s="9" t="s">
        <v>309</v>
      </c>
    </row>
    <row r="308" spans="1:82">
      <c r="A308" s="8">
        <v>16161</v>
      </c>
      <c r="B308" s="9" t="s">
        <v>3902</v>
      </c>
      <c r="C308" s="9" t="s">
        <v>3517</v>
      </c>
      <c r="D308" s="10">
        <v>44889</v>
      </c>
      <c r="E308" s="9" t="s">
        <v>3903</v>
      </c>
      <c r="F308" s="9" t="s">
        <v>680</v>
      </c>
      <c r="G308" s="9" t="s">
        <v>3904</v>
      </c>
      <c r="H308" s="9" t="s">
        <v>281</v>
      </c>
      <c r="I308" s="9" t="s">
        <v>282</v>
      </c>
      <c r="J308" s="9" t="s">
        <v>283</v>
      </c>
      <c r="K308" s="9" t="s">
        <v>1696</v>
      </c>
      <c r="L308" s="9" t="s">
        <v>3905</v>
      </c>
      <c r="M308" s="9" t="s">
        <v>3906</v>
      </c>
      <c r="N308" s="8">
        <v>1</v>
      </c>
      <c r="O308" s="9" t="s">
        <v>3907</v>
      </c>
      <c r="P308" s="11">
        <v>96.9</v>
      </c>
      <c r="Q308" s="11">
        <v>110</v>
      </c>
      <c r="R308" s="11">
        <v>90</v>
      </c>
      <c r="S308" s="11">
        <v>1391.85</v>
      </c>
      <c r="T308" s="11">
        <v>134870.26500000001</v>
      </c>
      <c r="U308" s="12">
        <v>0.05</v>
      </c>
      <c r="V308" s="12"/>
      <c r="W308" s="11"/>
      <c r="X308" s="9" t="s">
        <v>288</v>
      </c>
      <c r="Y308" s="10">
        <v>44225</v>
      </c>
      <c r="Z308" s="13">
        <v>9.74E-2</v>
      </c>
      <c r="AC308" s="9" t="s">
        <v>289</v>
      </c>
      <c r="AD308" s="9" t="s">
        <v>290</v>
      </c>
      <c r="AE308" s="8">
        <v>476.42975999999999</v>
      </c>
      <c r="AF308" s="14">
        <v>45.003709999999998</v>
      </c>
      <c r="AG308" s="14">
        <v>4.9035799999999998</v>
      </c>
      <c r="AH308" s="9" t="s">
        <v>3129</v>
      </c>
      <c r="AI308" s="15" t="s">
        <v>3908</v>
      </c>
      <c r="AJ308" s="9" t="s">
        <v>293</v>
      </c>
      <c r="AK308" s="9" t="s">
        <v>3909</v>
      </c>
      <c r="AL308" s="9" t="s">
        <v>3910</v>
      </c>
      <c r="AM308" s="9"/>
      <c r="AN308" s="9" t="s">
        <v>3911</v>
      </c>
      <c r="AO308" s="9"/>
      <c r="AP308" s="9" t="s">
        <v>2946</v>
      </c>
      <c r="AQ308" s="9" t="s">
        <v>3912</v>
      </c>
      <c r="AR308" t="b">
        <v>0</v>
      </c>
      <c r="AS308" s="10"/>
      <c r="AT308" s="10" t="s">
        <v>299</v>
      </c>
      <c r="AU308" s="9"/>
      <c r="AW308" s="12"/>
      <c r="AX308" s="11"/>
      <c r="AY308" s="9"/>
      <c r="AZ308" t="b">
        <v>0</v>
      </c>
      <c r="BA308" s="9"/>
      <c r="BB308" s="12"/>
      <c r="BC308" s="11"/>
      <c r="BD308" s="9" t="s">
        <v>300</v>
      </c>
      <c r="BE308" s="9" t="s">
        <v>47</v>
      </c>
      <c r="BF308" s="9" t="s">
        <v>1111</v>
      </c>
      <c r="BG308" s="9" t="s">
        <v>967</v>
      </c>
      <c r="BH308" s="9" t="s">
        <v>304</v>
      </c>
      <c r="BI308" s="9" t="s">
        <v>3527</v>
      </c>
      <c r="BJ308" s="9" t="s">
        <v>3528</v>
      </c>
      <c r="BK308" s="11">
        <v>400</v>
      </c>
      <c r="BL308" s="16" t="s">
        <v>299</v>
      </c>
      <c r="BM308" s="10"/>
      <c r="BN308" s="10"/>
      <c r="BO308" s="10"/>
      <c r="BP308" s="16"/>
      <c r="BQ308" s="16"/>
      <c r="BR308" s="9"/>
      <c r="BS308" s="9"/>
      <c r="BT308" s="9"/>
      <c r="BU308" s="9"/>
      <c r="BV308" s="9"/>
      <c r="BW308" s="10"/>
      <c r="BX308" s="15" t="s">
        <v>3913</v>
      </c>
      <c r="BY308" s="10">
        <v>44889</v>
      </c>
      <c r="BZ308" s="10">
        <v>52193</v>
      </c>
      <c r="CA308" s="10">
        <v>45349</v>
      </c>
      <c r="CC308" s="9" t="s">
        <v>308</v>
      </c>
      <c r="CD308" s="9" t="s">
        <v>309</v>
      </c>
    </row>
    <row r="309" spans="1:82">
      <c r="A309" s="8">
        <v>11599</v>
      </c>
      <c r="B309" s="9" t="s">
        <v>3914</v>
      </c>
      <c r="C309" s="9" t="s">
        <v>3797</v>
      </c>
      <c r="D309" s="10">
        <v>44888</v>
      </c>
      <c r="E309" s="9" t="s">
        <v>3915</v>
      </c>
      <c r="F309" s="9" t="s">
        <v>1997</v>
      </c>
      <c r="G309" s="9" t="s">
        <v>1998</v>
      </c>
      <c r="H309" s="9" t="s">
        <v>315</v>
      </c>
      <c r="I309" s="9" t="s">
        <v>282</v>
      </c>
      <c r="J309" s="9" t="s">
        <v>283</v>
      </c>
      <c r="K309" s="9" t="s">
        <v>1696</v>
      </c>
      <c r="L309" s="9" t="s">
        <v>3916</v>
      </c>
      <c r="M309" s="9" t="s">
        <v>3917</v>
      </c>
      <c r="N309" s="8">
        <v>1</v>
      </c>
      <c r="O309" s="9" t="s">
        <v>3918</v>
      </c>
      <c r="P309" s="11">
        <v>99.9</v>
      </c>
      <c r="Q309" s="11">
        <v>110</v>
      </c>
      <c r="R309" s="11">
        <v>89</v>
      </c>
      <c r="S309" s="11">
        <v>1313.9</v>
      </c>
      <c r="T309" s="11">
        <v>131258.60999999999</v>
      </c>
      <c r="U309" s="12">
        <v>0.05</v>
      </c>
      <c r="V309" s="12"/>
      <c r="W309" s="11"/>
      <c r="X309" s="9" t="s">
        <v>288</v>
      </c>
      <c r="Y309" s="10">
        <v>44082</v>
      </c>
      <c r="Z309" s="13">
        <v>0.10249999999999999</v>
      </c>
      <c r="AC309" s="9" t="s">
        <v>289</v>
      </c>
      <c r="AD309" s="9" t="s">
        <v>290</v>
      </c>
      <c r="AE309" s="8">
        <v>491.85629999999998</v>
      </c>
      <c r="AF309" s="14">
        <v>44.626950000000001</v>
      </c>
      <c r="AG309" s="14">
        <v>5.0114599999999996</v>
      </c>
      <c r="AH309" s="9" t="s">
        <v>3129</v>
      </c>
      <c r="AI309" s="15" t="s">
        <v>319</v>
      </c>
      <c r="AJ309" s="9" t="s">
        <v>293</v>
      </c>
      <c r="AK309" s="9" t="s">
        <v>3919</v>
      </c>
      <c r="AL309" s="9" t="s">
        <v>3920</v>
      </c>
      <c r="AM309" s="9" t="s">
        <v>3921</v>
      </c>
      <c r="AN309" s="9" t="s">
        <v>3922</v>
      </c>
      <c r="AO309" s="9" t="s">
        <v>3923</v>
      </c>
      <c r="AP309" s="9" t="s">
        <v>3792</v>
      </c>
      <c r="AQ309" s="9" t="s">
        <v>3178</v>
      </c>
      <c r="AR309" t="b">
        <v>1</v>
      </c>
      <c r="AS309" s="10">
        <v>44889</v>
      </c>
      <c r="AT309" s="10">
        <v>45985</v>
      </c>
      <c r="AU309" s="9" t="s">
        <v>3849</v>
      </c>
      <c r="AW309" s="12">
        <v>0.13500000000000001</v>
      </c>
      <c r="AX309" s="11"/>
      <c r="AY309" s="9" t="s">
        <v>471</v>
      </c>
      <c r="AZ309" t="b">
        <v>1</v>
      </c>
      <c r="BA309" s="9" t="s">
        <v>242</v>
      </c>
      <c r="BB309" s="12">
        <v>0.13500000000000001</v>
      </c>
      <c r="BC309" s="11"/>
      <c r="BD309" s="9" t="s">
        <v>300</v>
      </c>
      <c r="BE309" s="9" t="s">
        <v>47</v>
      </c>
      <c r="BF309" s="9" t="s">
        <v>1111</v>
      </c>
      <c r="BG309" s="9" t="s">
        <v>967</v>
      </c>
      <c r="BH309" s="9" t="s">
        <v>304</v>
      </c>
      <c r="BI309" s="9" t="s">
        <v>3802</v>
      </c>
      <c r="BJ309" s="9" t="s">
        <v>3803</v>
      </c>
      <c r="BK309" s="11">
        <v>400</v>
      </c>
      <c r="BL309" s="16" t="s">
        <v>299</v>
      </c>
      <c r="BM309" s="10"/>
      <c r="BN309" s="10"/>
      <c r="BO309" s="10"/>
      <c r="BP309" s="16"/>
      <c r="BQ309" s="16"/>
      <c r="BR309" s="9" t="s">
        <v>3924</v>
      </c>
      <c r="BS309" s="9" t="s">
        <v>3925</v>
      </c>
      <c r="BT309" s="9" t="s">
        <v>1998</v>
      </c>
      <c r="BU309" s="9" t="s">
        <v>1997</v>
      </c>
      <c r="BV309" s="9"/>
      <c r="BW309" s="10"/>
      <c r="BX309" s="15" t="s">
        <v>1155</v>
      </c>
      <c r="BY309" s="10">
        <v>44888</v>
      </c>
      <c r="BZ309" s="10">
        <v>52193</v>
      </c>
      <c r="CA309" s="10">
        <v>45560</v>
      </c>
      <c r="CC309" s="9" t="s">
        <v>308</v>
      </c>
      <c r="CD309" s="9" t="s">
        <v>309</v>
      </c>
    </row>
    <row r="310" spans="1:82">
      <c r="A310" s="8">
        <v>12621</v>
      </c>
      <c r="B310" s="9" t="s">
        <v>3926</v>
      </c>
      <c r="C310" s="9" t="s">
        <v>3487</v>
      </c>
      <c r="D310" s="10">
        <v>44888</v>
      </c>
      <c r="E310" s="9" t="s">
        <v>3927</v>
      </c>
      <c r="F310" s="9" t="s">
        <v>3928</v>
      </c>
      <c r="G310" s="9" t="s">
        <v>3929</v>
      </c>
      <c r="H310" s="9" t="s">
        <v>281</v>
      </c>
      <c r="I310" s="9" t="s">
        <v>282</v>
      </c>
      <c r="J310" s="9" t="s">
        <v>283</v>
      </c>
      <c r="K310" s="9" t="s">
        <v>1696</v>
      </c>
      <c r="L310" s="9" t="s">
        <v>3930</v>
      </c>
      <c r="M310" s="9" t="s">
        <v>3931</v>
      </c>
      <c r="N310" s="8">
        <v>1</v>
      </c>
      <c r="O310" s="9" t="s">
        <v>3932</v>
      </c>
      <c r="P310" s="11">
        <v>93.24</v>
      </c>
      <c r="Q310" s="11">
        <v>110</v>
      </c>
      <c r="R310" s="11">
        <v>90</v>
      </c>
      <c r="S310" s="11">
        <v>1511.48</v>
      </c>
      <c r="T310" s="11">
        <v>140930.3952</v>
      </c>
      <c r="U310" s="12">
        <v>1.9E-2</v>
      </c>
      <c r="V310" s="12"/>
      <c r="W310" s="11"/>
      <c r="X310" s="9" t="s">
        <v>288</v>
      </c>
      <c r="Y310" s="10">
        <v>44082</v>
      </c>
      <c r="Z310" s="13">
        <v>0.10249999999999999</v>
      </c>
      <c r="AC310" s="9" t="s">
        <v>289</v>
      </c>
      <c r="AD310" s="9" t="s">
        <v>290</v>
      </c>
      <c r="AE310" s="8">
        <v>459.65879999999999</v>
      </c>
      <c r="AF310" s="14">
        <v>44.549250000000001</v>
      </c>
      <c r="AG310" s="14">
        <v>5.5048199999999996</v>
      </c>
      <c r="AH310" s="9" t="s">
        <v>3129</v>
      </c>
      <c r="AI310" s="15" t="s">
        <v>319</v>
      </c>
      <c r="AJ310" s="9" t="s">
        <v>293</v>
      </c>
      <c r="AK310" s="9" t="s">
        <v>3933</v>
      </c>
      <c r="AL310" s="9" t="s">
        <v>3934</v>
      </c>
      <c r="AM310" s="9"/>
      <c r="AN310" s="9" t="s">
        <v>3935</v>
      </c>
      <c r="AO310" s="9"/>
      <c r="AP310" s="9" t="s">
        <v>2186</v>
      </c>
      <c r="AQ310" s="9" t="s">
        <v>3134</v>
      </c>
      <c r="AR310" t="b">
        <v>0</v>
      </c>
      <c r="AS310" s="10"/>
      <c r="AT310" s="10" t="s">
        <v>299</v>
      </c>
      <c r="AU310" s="9"/>
      <c r="AW310" s="12"/>
      <c r="AX310" s="11"/>
      <c r="AY310" s="9"/>
      <c r="AZ310" t="b">
        <v>0</v>
      </c>
      <c r="BA310" s="9"/>
      <c r="BB310" s="12"/>
      <c r="BC310" s="11"/>
      <c r="BD310" s="9" t="s">
        <v>300</v>
      </c>
      <c r="BE310" s="9" t="s">
        <v>301</v>
      </c>
      <c r="BF310" s="9" t="s">
        <v>980</v>
      </c>
      <c r="BG310" s="9" t="s">
        <v>967</v>
      </c>
      <c r="BH310" s="9" t="s">
        <v>304</v>
      </c>
      <c r="BI310" s="9" t="s">
        <v>3499</v>
      </c>
      <c r="BJ310" s="9" t="s">
        <v>3500</v>
      </c>
      <c r="BK310" s="11">
        <v>400</v>
      </c>
      <c r="BL310" s="16" t="s">
        <v>299</v>
      </c>
      <c r="BM310" s="10"/>
      <c r="BN310" s="10"/>
      <c r="BO310" s="10"/>
      <c r="BP310" s="16"/>
      <c r="BQ310" s="16"/>
      <c r="BR310" s="9"/>
      <c r="BS310" s="9"/>
      <c r="BT310" s="9"/>
      <c r="BU310" s="9"/>
      <c r="BV310" s="9"/>
      <c r="BW310" s="10"/>
      <c r="BX310" s="15" t="s">
        <v>3936</v>
      </c>
      <c r="BY310" s="10">
        <v>44888</v>
      </c>
      <c r="BZ310" s="10">
        <v>52153</v>
      </c>
      <c r="CA310" s="10">
        <v>45250</v>
      </c>
      <c r="CC310" s="9" t="s">
        <v>308</v>
      </c>
      <c r="CD310" s="9" t="s">
        <v>309</v>
      </c>
    </row>
    <row r="311" spans="1:82">
      <c r="A311" s="8">
        <v>84034</v>
      </c>
      <c r="B311" s="9" t="s">
        <v>3937</v>
      </c>
      <c r="C311" s="9" t="s">
        <v>3759</v>
      </c>
      <c r="D311" s="10">
        <v>44874</v>
      </c>
      <c r="E311" s="9" t="s">
        <v>3937</v>
      </c>
      <c r="F311" s="9" t="s">
        <v>3938</v>
      </c>
      <c r="G311" s="9" t="s">
        <v>3939</v>
      </c>
      <c r="H311" s="9" t="s">
        <v>281</v>
      </c>
      <c r="I311" s="9" t="s">
        <v>282</v>
      </c>
      <c r="J311" s="9" t="s">
        <v>283</v>
      </c>
      <c r="K311" s="9" t="s">
        <v>1696</v>
      </c>
      <c r="L311" s="9" t="s">
        <v>3940</v>
      </c>
      <c r="M311" s="9" t="s">
        <v>3941</v>
      </c>
      <c r="N311" s="8">
        <v>1</v>
      </c>
      <c r="O311" s="9" t="s">
        <v>3942</v>
      </c>
      <c r="P311" s="11">
        <v>99.935000000000002</v>
      </c>
      <c r="Q311" s="11">
        <v>110</v>
      </c>
      <c r="R311" s="11">
        <v>100</v>
      </c>
      <c r="S311" s="11">
        <v>1223.8</v>
      </c>
      <c r="T311" s="11">
        <v>122300.45299999999</v>
      </c>
      <c r="U311" s="12">
        <v>0.05</v>
      </c>
      <c r="V311" s="12"/>
      <c r="W311" s="11"/>
      <c r="X311" s="9" t="s">
        <v>288</v>
      </c>
      <c r="Y311" s="10">
        <v>44100</v>
      </c>
      <c r="Z311" s="13">
        <v>0.10249999999999999</v>
      </c>
      <c r="AC311" s="9" t="s">
        <v>289</v>
      </c>
      <c r="AD311" s="9" t="s">
        <v>290</v>
      </c>
      <c r="AE311" s="8">
        <v>486.36315000000002</v>
      </c>
      <c r="AF311" s="14">
        <v>47.706609999999998</v>
      </c>
      <c r="AG311" s="14">
        <v>-1.4836400000000001</v>
      </c>
      <c r="AH311" s="9" t="s">
        <v>3129</v>
      </c>
      <c r="AI311" s="15" t="s">
        <v>3943</v>
      </c>
      <c r="AJ311" s="9" t="s">
        <v>293</v>
      </c>
      <c r="AK311" s="9" t="s">
        <v>3944</v>
      </c>
      <c r="AL311" s="9" t="s">
        <v>3945</v>
      </c>
      <c r="AM311" s="9"/>
      <c r="AN311" s="9" t="s">
        <v>3946</v>
      </c>
      <c r="AO311" s="9"/>
      <c r="AP311" s="9" t="s">
        <v>3769</v>
      </c>
      <c r="AQ311" s="9" t="s">
        <v>3769</v>
      </c>
      <c r="AR311" t="b">
        <v>0</v>
      </c>
      <c r="AS311" s="10"/>
      <c r="AT311" s="10" t="s">
        <v>299</v>
      </c>
      <c r="AU311" s="9"/>
      <c r="AW311" s="12"/>
      <c r="AX311" s="11"/>
      <c r="AY311" s="9"/>
      <c r="AZ311" t="b">
        <v>0</v>
      </c>
      <c r="BA311" s="9"/>
      <c r="BB311" s="12"/>
      <c r="BC311" s="11"/>
      <c r="BD311" s="9" t="s">
        <v>300</v>
      </c>
      <c r="BE311" s="9" t="s">
        <v>86</v>
      </c>
      <c r="BF311" s="9" t="s">
        <v>402</v>
      </c>
      <c r="BG311" s="9" t="s">
        <v>529</v>
      </c>
      <c r="BH311" s="9" t="s">
        <v>304</v>
      </c>
      <c r="BI311" s="9" t="s">
        <v>3770</v>
      </c>
      <c r="BJ311" s="9" t="s">
        <v>3771</v>
      </c>
      <c r="BK311" s="11">
        <v>400</v>
      </c>
      <c r="BL311" s="16" t="s">
        <v>299</v>
      </c>
      <c r="BM311" s="10"/>
      <c r="BN311" s="10"/>
      <c r="BO311" s="10"/>
      <c r="BP311" s="16"/>
      <c r="BQ311" s="16"/>
      <c r="BR311" s="9"/>
      <c r="BS311" s="9"/>
      <c r="BT311" s="9"/>
      <c r="BU311" s="9"/>
      <c r="BV311" s="9"/>
      <c r="BW311" s="10"/>
      <c r="BX311" s="15" t="s">
        <v>1595</v>
      </c>
      <c r="BY311" s="10">
        <v>44874</v>
      </c>
      <c r="BZ311" s="10">
        <v>52178</v>
      </c>
      <c r="CA311" s="10">
        <v>44985</v>
      </c>
      <c r="CC311" s="9" t="s">
        <v>308</v>
      </c>
      <c r="CD311" s="9" t="s">
        <v>309</v>
      </c>
    </row>
    <row r="312" spans="1:82">
      <c r="A312" s="8">
        <v>13149</v>
      </c>
      <c r="B312" s="9" t="s">
        <v>3947</v>
      </c>
      <c r="C312" s="9" t="s">
        <v>3797</v>
      </c>
      <c r="D312" s="10">
        <v>44869</v>
      </c>
      <c r="E312" s="9" t="s">
        <v>3948</v>
      </c>
      <c r="F312" s="9" t="s">
        <v>3577</v>
      </c>
      <c r="G312" s="9" t="s">
        <v>3949</v>
      </c>
      <c r="H312" s="9" t="s">
        <v>281</v>
      </c>
      <c r="I312" s="9" t="s">
        <v>282</v>
      </c>
      <c r="J312" s="9" t="s">
        <v>283</v>
      </c>
      <c r="K312" s="9" t="s">
        <v>1696</v>
      </c>
      <c r="L312" s="9" t="s">
        <v>3950</v>
      </c>
      <c r="M312" s="9" t="s">
        <v>3951</v>
      </c>
      <c r="N312" s="8">
        <v>1</v>
      </c>
      <c r="O312" s="9" t="s">
        <v>3952</v>
      </c>
      <c r="P312" s="11">
        <v>99.9</v>
      </c>
      <c r="Q312" s="11">
        <v>110</v>
      </c>
      <c r="R312" s="11">
        <v>90</v>
      </c>
      <c r="S312" s="11">
        <v>1353.2</v>
      </c>
      <c r="T312" s="11">
        <v>135184.68</v>
      </c>
      <c r="U312" s="12">
        <v>0.05</v>
      </c>
      <c r="V312" s="12"/>
      <c r="W312" s="11"/>
      <c r="X312" s="9" t="s">
        <v>288</v>
      </c>
      <c r="Y312" s="10">
        <v>44152</v>
      </c>
      <c r="Z312" s="13">
        <v>9.8699999999999996E-2</v>
      </c>
      <c r="AC312" s="9" t="s">
        <v>289</v>
      </c>
      <c r="AD312" s="9" t="s">
        <v>290</v>
      </c>
      <c r="AE312" s="8">
        <v>491.85629999999998</v>
      </c>
      <c r="AF312" s="14">
        <v>43.349580000000003</v>
      </c>
      <c r="AG312" s="14">
        <v>1.67876</v>
      </c>
      <c r="AH312" s="9" t="s">
        <v>3129</v>
      </c>
      <c r="AI312" s="15" t="s">
        <v>319</v>
      </c>
      <c r="AJ312" s="9" t="s">
        <v>293</v>
      </c>
      <c r="AK312" s="9" t="s">
        <v>3953</v>
      </c>
      <c r="AL312" s="9" t="s">
        <v>3954</v>
      </c>
      <c r="AM312" s="9"/>
      <c r="AN312" s="9" t="s">
        <v>3955</v>
      </c>
      <c r="AO312" s="9"/>
      <c r="AP312" s="9" t="s">
        <v>3133</v>
      </c>
      <c r="AQ312" s="9" t="s">
        <v>3134</v>
      </c>
      <c r="AR312" t="b">
        <v>0</v>
      </c>
      <c r="AS312" s="10"/>
      <c r="AT312" s="10" t="s">
        <v>299</v>
      </c>
      <c r="AU312" s="9"/>
      <c r="AW312" s="12"/>
      <c r="AX312" s="11"/>
      <c r="AY312" s="9"/>
      <c r="AZ312" t="b">
        <v>0</v>
      </c>
      <c r="BA312" s="9"/>
      <c r="BB312" s="12"/>
      <c r="BC312" s="11"/>
      <c r="BD312" s="9" t="s">
        <v>325</v>
      </c>
      <c r="BE312" s="9" t="s">
        <v>47</v>
      </c>
      <c r="BF312" s="9" t="s">
        <v>980</v>
      </c>
      <c r="BG312" s="9" t="s">
        <v>738</v>
      </c>
      <c r="BH312" s="9" t="s">
        <v>304</v>
      </c>
      <c r="BI312" s="9" t="s">
        <v>3802</v>
      </c>
      <c r="BJ312" s="9" t="s">
        <v>3803</v>
      </c>
      <c r="BK312" s="11">
        <v>400</v>
      </c>
      <c r="BL312" s="16" t="s">
        <v>299</v>
      </c>
      <c r="BM312" s="10"/>
      <c r="BN312" s="10"/>
      <c r="BO312" s="10"/>
      <c r="BP312" s="16"/>
      <c r="BQ312" s="16"/>
      <c r="BR312" s="9" t="s">
        <v>3956</v>
      </c>
      <c r="BS312" s="9" t="s">
        <v>3957</v>
      </c>
      <c r="BT312" s="9" t="s">
        <v>3958</v>
      </c>
      <c r="BU312" s="9" t="s">
        <v>3959</v>
      </c>
      <c r="BV312" s="9"/>
      <c r="BW312" s="10">
        <v>55361</v>
      </c>
      <c r="BX312" s="15" t="s">
        <v>3960</v>
      </c>
      <c r="BY312" s="10">
        <v>44662</v>
      </c>
      <c r="BZ312" s="10">
        <v>51967</v>
      </c>
      <c r="CA312" s="10">
        <v>45274</v>
      </c>
      <c r="CC312" s="9" t="s">
        <v>308</v>
      </c>
      <c r="CD312" s="9" t="s">
        <v>309</v>
      </c>
    </row>
    <row r="313" spans="1:82">
      <c r="A313" s="8">
        <v>23289</v>
      </c>
      <c r="B313" s="9" t="s">
        <v>3961</v>
      </c>
      <c r="C313" s="9" t="s">
        <v>3517</v>
      </c>
      <c r="D313" s="10">
        <v>44858</v>
      </c>
      <c r="E313" s="9" t="s">
        <v>3962</v>
      </c>
      <c r="F313" s="9" t="s">
        <v>3963</v>
      </c>
      <c r="G313" s="9" t="s">
        <v>3964</v>
      </c>
      <c r="H313" s="9" t="s">
        <v>281</v>
      </c>
      <c r="I313" s="9" t="s">
        <v>282</v>
      </c>
      <c r="J313" s="9" t="s">
        <v>603</v>
      </c>
      <c r="K313" s="9" t="s">
        <v>1696</v>
      </c>
      <c r="L313" s="9" t="s">
        <v>3965</v>
      </c>
      <c r="M313" s="9" t="s">
        <v>3966</v>
      </c>
      <c r="N313" s="8">
        <v>1</v>
      </c>
      <c r="O313" s="9" t="s">
        <v>3967</v>
      </c>
      <c r="P313" s="11">
        <v>79.040000000000006</v>
      </c>
      <c r="Q313" s="11">
        <v>110</v>
      </c>
      <c r="R313" s="11">
        <v>90</v>
      </c>
      <c r="S313" s="11">
        <v>1117.08</v>
      </c>
      <c r="T313" s="11">
        <v>88294.003200000006</v>
      </c>
      <c r="U313" s="12">
        <v>0.05</v>
      </c>
      <c r="V313" s="12"/>
      <c r="W313" s="11"/>
      <c r="X313" s="9" t="s">
        <v>288</v>
      </c>
      <c r="Y313" s="10">
        <v>44235</v>
      </c>
      <c r="Z313" s="13">
        <v>9.74E-2</v>
      </c>
      <c r="AC313" s="9" t="s">
        <v>289</v>
      </c>
      <c r="AD313" s="9" t="s">
        <v>290</v>
      </c>
      <c r="AE313" s="8">
        <v>381.37216000000001</v>
      </c>
      <c r="AF313" s="14">
        <v>45.539349999999999</v>
      </c>
      <c r="AG313" s="14">
        <v>2.1335799999999998</v>
      </c>
      <c r="AH313" s="9" t="s">
        <v>3129</v>
      </c>
      <c r="AI313" s="15" t="s">
        <v>319</v>
      </c>
      <c r="AJ313" s="9" t="s">
        <v>293</v>
      </c>
      <c r="AK313" s="9" t="s">
        <v>3968</v>
      </c>
      <c r="AL313" s="9" t="s">
        <v>3969</v>
      </c>
      <c r="AM313" s="9" t="s">
        <v>3970</v>
      </c>
      <c r="AN313" s="9" t="s">
        <v>3971</v>
      </c>
      <c r="AO313" s="9"/>
      <c r="AP313" s="9" t="s">
        <v>3133</v>
      </c>
      <c r="AQ313" s="9" t="s">
        <v>3972</v>
      </c>
      <c r="AR313" t="b">
        <v>0</v>
      </c>
      <c r="AS313" s="10"/>
      <c r="AT313" s="10" t="s">
        <v>299</v>
      </c>
      <c r="AU313" s="9"/>
      <c r="AW313" s="12"/>
      <c r="AX313" s="11"/>
      <c r="AY313" s="9"/>
      <c r="AZ313" t="b">
        <v>0</v>
      </c>
      <c r="BA313" s="9"/>
      <c r="BB313" s="12"/>
      <c r="BC313" s="11"/>
      <c r="BD313" s="9" t="s">
        <v>325</v>
      </c>
      <c r="BE313" s="9" t="s">
        <v>47</v>
      </c>
      <c r="BF313" s="9" t="s">
        <v>402</v>
      </c>
      <c r="BG313" s="9" t="s">
        <v>749</v>
      </c>
      <c r="BH313" s="9" t="s">
        <v>304</v>
      </c>
      <c r="BI313" s="9" t="s">
        <v>3527</v>
      </c>
      <c r="BJ313" s="9" t="s">
        <v>3528</v>
      </c>
      <c r="BK313" s="11">
        <v>400</v>
      </c>
      <c r="BL313" s="16" t="s">
        <v>299</v>
      </c>
      <c r="BM313" s="10"/>
      <c r="BN313" s="10"/>
      <c r="BO313" s="10"/>
      <c r="BP313" s="16"/>
      <c r="BQ313" s="16"/>
      <c r="BR313" s="9"/>
      <c r="BS313" s="9"/>
      <c r="BT313" s="9"/>
      <c r="BU313" s="9"/>
      <c r="BV313" s="9"/>
      <c r="BW313" s="10"/>
      <c r="BX313" s="15" t="s">
        <v>3973</v>
      </c>
      <c r="BY313" s="10">
        <v>44858</v>
      </c>
      <c r="BZ313" s="10">
        <v>52162</v>
      </c>
      <c r="CA313" s="10">
        <v>45028</v>
      </c>
      <c r="CC313" s="9" t="s">
        <v>308</v>
      </c>
      <c r="CD313" s="9" t="s">
        <v>309</v>
      </c>
    </row>
    <row r="314" spans="1:82" ht="29.1">
      <c r="A314" s="8">
        <v>84038</v>
      </c>
      <c r="B314" s="9" t="s">
        <v>3974</v>
      </c>
      <c r="C314" s="9" t="s">
        <v>3759</v>
      </c>
      <c r="D314" s="10">
        <v>44845</v>
      </c>
      <c r="E314" s="9" t="s">
        <v>3975</v>
      </c>
      <c r="F314" s="9" t="s">
        <v>3938</v>
      </c>
      <c r="G314" s="9" t="s">
        <v>3976</v>
      </c>
      <c r="H314" s="9" t="s">
        <v>281</v>
      </c>
      <c r="I314" s="9" t="s">
        <v>282</v>
      </c>
      <c r="J314" s="9" t="s">
        <v>283</v>
      </c>
      <c r="K314" s="9" t="s">
        <v>1696</v>
      </c>
      <c r="L314" s="9" t="s">
        <v>3977</v>
      </c>
      <c r="M314" s="9" t="s">
        <v>3978</v>
      </c>
      <c r="N314" s="8">
        <v>1</v>
      </c>
      <c r="O314" s="9" t="s">
        <v>3979</v>
      </c>
      <c r="P314" s="11">
        <v>99.96</v>
      </c>
      <c r="Q314" s="11">
        <v>110</v>
      </c>
      <c r="R314" s="11">
        <v>100</v>
      </c>
      <c r="S314" s="11">
        <v>1216.6500000000001</v>
      </c>
      <c r="T314" s="11">
        <v>121616.334</v>
      </c>
      <c r="U314" s="12">
        <v>0.05</v>
      </c>
      <c r="V314" s="12"/>
      <c r="W314" s="11"/>
      <c r="X314" s="9" t="s">
        <v>288</v>
      </c>
      <c r="Y314" s="10">
        <v>44109</v>
      </c>
      <c r="Z314" s="13">
        <v>9.3600000000000003E-2</v>
      </c>
      <c r="AC314" s="9" t="s">
        <v>289</v>
      </c>
      <c r="AD314" s="9" t="s">
        <v>290</v>
      </c>
      <c r="AE314" s="8">
        <v>500.7996</v>
      </c>
      <c r="AF314" s="14">
        <v>47.652720000000002</v>
      </c>
      <c r="AG314" s="14">
        <v>-1.27373</v>
      </c>
      <c r="AH314" s="9" t="s">
        <v>3129</v>
      </c>
      <c r="AI314" s="15" t="s">
        <v>3980</v>
      </c>
      <c r="AJ314" s="9" t="s">
        <v>293</v>
      </c>
      <c r="AK314" s="9" t="s">
        <v>3981</v>
      </c>
      <c r="AL314" s="9" t="s">
        <v>3982</v>
      </c>
      <c r="AM314" s="9"/>
      <c r="AN314" s="9" t="s">
        <v>3983</v>
      </c>
      <c r="AO314" s="9"/>
      <c r="AP314" s="9" t="s">
        <v>3769</v>
      </c>
      <c r="AQ314" s="9" t="s">
        <v>3769</v>
      </c>
      <c r="AR314" t="b">
        <v>0</v>
      </c>
      <c r="AS314" s="10"/>
      <c r="AT314" s="10" t="s">
        <v>299</v>
      </c>
      <c r="AU314" s="9"/>
      <c r="AW314" s="12"/>
      <c r="AX314" s="11"/>
      <c r="AY314" s="9"/>
      <c r="AZ314" t="b">
        <v>0</v>
      </c>
      <c r="BA314" s="9"/>
      <c r="BB314" s="12"/>
      <c r="BC314" s="11"/>
      <c r="BD314" s="9" t="s">
        <v>300</v>
      </c>
      <c r="BE314" s="9" t="s">
        <v>86</v>
      </c>
      <c r="BF314" s="9" t="s">
        <v>402</v>
      </c>
      <c r="BG314" s="9" t="s">
        <v>529</v>
      </c>
      <c r="BH314" s="9" t="s">
        <v>304</v>
      </c>
      <c r="BI314" s="9" t="s">
        <v>3770</v>
      </c>
      <c r="BJ314" s="9" t="s">
        <v>3771</v>
      </c>
      <c r="BK314" s="11">
        <v>400</v>
      </c>
      <c r="BL314" s="16" t="s">
        <v>299</v>
      </c>
      <c r="BM314" s="10"/>
      <c r="BN314" s="10"/>
      <c r="BO314" s="10"/>
      <c r="BP314" s="16"/>
      <c r="BQ314" s="16"/>
      <c r="BR314" s="9"/>
      <c r="BS314" s="9"/>
      <c r="BT314" s="9"/>
      <c r="BU314" s="9"/>
      <c r="BV314" s="9"/>
      <c r="BW314" s="10"/>
      <c r="BX314" s="15" t="s">
        <v>3653</v>
      </c>
      <c r="BY314" s="10">
        <v>44845</v>
      </c>
      <c r="BZ314" s="10">
        <v>52149</v>
      </c>
      <c r="CA314" s="10">
        <v>45294</v>
      </c>
      <c r="CC314" s="9" t="s">
        <v>308</v>
      </c>
      <c r="CD314" s="9" t="s">
        <v>309</v>
      </c>
    </row>
    <row r="315" spans="1:82">
      <c r="A315" s="8">
        <v>79206</v>
      </c>
      <c r="B315" s="9" t="s">
        <v>3984</v>
      </c>
      <c r="C315" s="9" t="s">
        <v>3609</v>
      </c>
      <c r="D315" s="10">
        <v>44820</v>
      </c>
      <c r="E315" s="9" t="s">
        <v>3985</v>
      </c>
      <c r="F315" s="9" t="s">
        <v>3986</v>
      </c>
      <c r="G315" s="9" t="s">
        <v>3987</v>
      </c>
      <c r="H315" s="9" t="s">
        <v>315</v>
      </c>
      <c r="I315" s="9" t="s">
        <v>282</v>
      </c>
      <c r="J315" s="9" t="s">
        <v>283</v>
      </c>
      <c r="K315" s="9" t="s">
        <v>1696</v>
      </c>
      <c r="L315" s="9" t="s">
        <v>3988</v>
      </c>
      <c r="M315" s="9" t="s">
        <v>3989</v>
      </c>
      <c r="N315" s="8">
        <v>1</v>
      </c>
      <c r="O315" s="9" t="s">
        <v>3990</v>
      </c>
      <c r="P315" s="11">
        <v>94.4</v>
      </c>
      <c r="Q315" s="11">
        <v>110</v>
      </c>
      <c r="R315" s="11">
        <v>90</v>
      </c>
      <c r="S315" s="11">
        <v>1055.8399999999999</v>
      </c>
      <c r="T315" s="11">
        <v>99671.296000000002</v>
      </c>
      <c r="U315" s="12">
        <v>0.05</v>
      </c>
      <c r="V315" s="12"/>
      <c r="W315" s="11"/>
      <c r="X315" s="9" t="s">
        <v>288</v>
      </c>
      <c r="Y315" s="10">
        <v>44104</v>
      </c>
      <c r="Z315" s="13">
        <v>0.10249999999999999</v>
      </c>
      <c r="AC315" s="9" t="s">
        <v>289</v>
      </c>
      <c r="AD315" s="9" t="s">
        <v>290</v>
      </c>
      <c r="AE315" s="8">
        <v>453.68261999999999</v>
      </c>
      <c r="AF315" s="14">
        <v>46.008380000000002</v>
      </c>
      <c r="AG315" s="14">
        <v>8.0189999999999997E-2</v>
      </c>
      <c r="AH315" s="9" t="s">
        <v>3129</v>
      </c>
      <c r="AI315" s="15" t="s">
        <v>319</v>
      </c>
      <c r="AJ315" s="9" t="s">
        <v>293</v>
      </c>
      <c r="AK315" s="9" t="s">
        <v>3991</v>
      </c>
      <c r="AL315" s="9" t="s">
        <v>3992</v>
      </c>
      <c r="AM315" s="9"/>
      <c r="AN315" s="9" t="s">
        <v>3993</v>
      </c>
      <c r="AO315" s="9"/>
      <c r="AP315" s="9" t="s">
        <v>3619</v>
      </c>
      <c r="AQ315" s="9" t="s">
        <v>3178</v>
      </c>
      <c r="AR315" t="b">
        <v>0</v>
      </c>
      <c r="AS315" s="10"/>
      <c r="AT315" s="10" t="s">
        <v>299</v>
      </c>
      <c r="AU315" s="9" t="s">
        <v>612</v>
      </c>
      <c r="AW315" s="12"/>
      <c r="AX315" s="11">
        <v>25000</v>
      </c>
      <c r="AY315" s="9"/>
      <c r="AZ315" t="b">
        <v>0</v>
      </c>
      <c r="BA315" s="9"/>
      <c r="BB315" s="12"/>
      <c r="BC315" s="11"/>
      <c r="BD315" s="9" t="s">
        <v>325</v>
      </c>
      <c r="BE315" s="9" t="s">
        <v>86</v>
      </c>
      <c r="BF315" s="9" t="s">
        <v>402</v>
      </c>
      <c r="BG315" s="9" t="s">
        <v>749</v>
      </c>
      <c r="BH315" s="9" t="s">
        <v>304</v>
      </c>
      <c r="BI315" s="9" t="s">
        <v>3620</v>
      </c>
      <c r="BJ315" s="9" t="s">
        <v>3621</v>
      </c>
      <c r="BK315" s="11">
        <v>400</v>
      </c>
      <c r="BL315" s="16" t="s">
        <v>299</v>
      </c>
      <c r="BM315" s="10"/>
      <c r="BN315" s="10"/>
      <c r="BO315" s="10"/>
      <c r="BP315" s="16"/>
      <c r="BQ315" s="16"/>
      <c r="BR315" s="9" t="s">
        <v>3994</v>
      </c>
      <c r="BS315" s="9" t="s">
        <v>3995</v>
      </c>
      <c r="BT315" s="9" t="s">
        <v>3996</v>
      </c>
      <c r="BU315" s="9" t="s">
        <v>3986</v>
      </c>
      <c r="BV315" s="9" t="s">
        <v>3997</v>
      </c>
      <c r="BW315" s="10"/>
      <c r="BX315" s="15" t="s">
        <v>3998</v>
      </c>
      <c r="BY315" s="10">
        <v>44820</v>
      </c>
      <c r="BZ315" s="10">
        <v>52474</v>
      </c>
      <c r="CA315" s="10">
        <v>45028</v>
      </c>
      <c r="CC315" s="9" t="s">
        <v>308</v>
      </c>
      <c r="CD315" s="9" t="s">
        <v>309</v>
      </c>
    </row>
    <row r="316" spans="1:82">
      <c r="A316" s="8">
        <v>11344</v>
      </c>
      <c r="B316" s="9" t="s">
        <v>3999</v>
      </c>
      <c r="C316" s="9" t="s">
        <v>3502</v>
      </c>
      <c r="D316" s="10">
        <v>44763</v>
      </c>
      <c r="E316" s="9" t="s">
        <v>4000</v>
      </c>
      <c r="F316" s="9" t="s">
        <v>4001</v>
      </c>
      <c r="G316" s="9" t="s">
        <v>4002</v>
      </c>
      <c r="H316" s="9" t="s">
        <v>281</v>
      </c>
      <c r="I316" s="9" t="s">
        <v>282</v>
      </c>
      <c r="J316" s="9" t="s">
        <v>283</v>
      </c>
      <c r="K316" s="9" t="s">
        <v>1696</v>
      </c>
      <c r="L316" s="9" t="s">
        <v>4003</v>
      </c>
      <c r="M316" s="9" t="s">
        <v>4004</v>
      </c>
      <c r="N316" s="8">
        <v>1</v>
      </c>
      <c r="O316" s="9" t="s">
        <v>4005</v>
      </c>
      <c r="P316" s="11">
        <v>99.9</v>
      </c>
      <c r="Q316" s="11">
        <v>110</v>
      </c>
      <c r="R316" s="11">
        <v>89</v>
      </c>
      <c r="S316" s="11">
        <v>1346.64</v>
      </c>
      <c r="T316" s="11">
        <v>134529.33600000001</v>
      </c>
      <c r="U316" s="12">
        <v>0.05</v>
      </c>
      <c r="V316" s="12"/>
      <c r="W316" s="11"/>
      <c r="X316" s="9" t="s">
        <v>288</v>
      </c>
      <c r="Y316" s="10">
        <v>44095</v>
      </c>
      <c r="Z316" s="13">
        <v>0.10249999999999999</v>
      </c>
      <c r="AC316" s="9" t="s">
        <v>289</v>
      </c>
      <c r="AD316" s="9" t="s">
        <v>290</v>
      </c>
      <c r="AE316" s="8">
        <v>491.85629999999998</v>
      </c>
      <c r="AF316" s="14">
        <v>44.061540000000001</v>
      </c>
      <c r="AG316" s="14">
        <v>1.45021</v>
      </c>
      <c r="AH316" s="9" t="s">
        <v>3129</v>
      </c>
      <c r="AI316" s="15" t="s">
        <v>319</v>
      </c>
      <c r="AJ316" s="9" t="s">
        <v>293</v>
      </c>
      <c r="AK316" s="9" t="s">
        <v>4006</v>
      </c>
      <c r="AL316" s="9" t="s">
        <v>4007</v>
      </c>
      <c r="AM316" s="9"/>
      <c r="AN316" s="9" t="s">
        <v>4008</v>
      </c>
      <c r="AO316" s="9"/>
      <c r="AP316" s="9" t="s">
        <v>3133</v>
      </c>
      <c r="AQ316" s="9" t="s">
        <v>528</v>
      </c>
      <c r="AR316" t="b">
        <v>0</v>
      </c>
      <c r="AS316" s="10"/>
      <c r="AT316" s="10" t="s">
        <v>299</v>
      </c>
      <c r="AU316" s="9"/>
      <c r="AW316" s="12"/>
      <c r="AX316" s="11"/>
      <c r="AY316" s="9"/>
      <c r="AZ316" t="b">
        <v>0</v>
      </c>
      <c r="BA316" s="9"/>
      <c r="BB316" s="12"/>
      <c r="BC316" s="11"/>
      <c r="BD316" s="9" t="s">
        <v>325</v>
      </c>
      <c r="BE316" s="9" t="s">
        <v>86</v>
      </c>
      <c r="BF316" s="9" t="s">
        <v>1111</v>
      </c>
      <c r="BG316" s="9" t="s">
        <v>749</v>
      </c>
      <c r="BH316" s="9" t="s">
        <v>304</v>
      </c>
      <c r="BI316" s="9" t="s">
        <v>3513</v>
      </c>
      <c r="BJ316" s="9" t="s">
        <v>3514</v>
      </c>
      <c r="BK316" s="11">
        <v>400</v>
      </c>
      <c r="BL316" s="16" t="s">
        <v>299</v>
      </c>
      <c r="BM316" s="10"/>
      <c r="BN316" s="10">
        <v>45204.916666666664</v>
      </c>
      <c r="BO316" s="10"/>
      <c r="BP316" s="16"/>
      <c r="BQ316" s="16"/>
      <c r="BR316" s="9"/>
      <c r="BS316" s="9"/>
      <c r="BT316" s="9"/>
      <c r="BU316" s="9"/>
      <c r="BV316" s="9"/>
      <c r="BW316" s="10"/>
      <c r="BX316" s="15" t="s">
        <v>4009</v>
      </c>
      <c r="BY316" s="10">
        <v>44763</v>
      </c>
      <c r="BZ316" s="10">
        <v>51767</v>
      </c>
      <c r="CA316" s="10">
        <v>45014</v>
      </c>
      <c r="CC316" s="9" t="s">
        <v>308</v>
      </c>
      <c r="CD316" s="9" t="s">
        <v>309</v>
      </c>
    </row>
    <row r="317" spans="1:82">
      <c r="A317" s="8">
        <v>17616</v>
      </c>
      <c r="B317" s="9" t="s">
        <v>4010</v>
      </c>
      <c r="C317" s="9" t="s">
        <v>3487</v>
      </c>
      <c r="D317" s="10">
        <v>44761</v>
      </c>
      <c r="E317" s="9" t="s">
        <v>4011</v>
      </c>
      <c r="F317" s="9" t="s">
        <v>363</v>
      </c>
      <c r="G317" s="9" t="s">
        <v>4012</v>
      </c>
      <c r="H317" s="9" t="s">
        <v>281</v>
      </c>
      <c r="I317" s="9" t="s">
        <v>282</v>
      </c>
      <c r="J317" s="9" t="s">
        <v>283</v>
      </c>
      <c r="K317" s="9" t="s">
        <v>1696</v>
      </c>
      <c r="L317" s="9" t="s">
        <v>4013</v>
      </c>
      <c r="M317" s="9" t="s">
        <v>4014</v>
      </c>
      <c r="N317" s="8">
        <v>1</v>
      </c>
      <c r="O317" s="9" t="s">
        <v>4015</v>
      </c>
      <c r="P317" s="11">
        <v>99.9</v>
      </c>
      <c r="Q317" s="11">
        <v>110</v>
      </c>
      <c r="R317" s="11">
        <v>90</v>
      </c>
      <c r="S317" s="11">
        <v>1351.53</v>
      </c>
      <c r="T317" s="11">
        <v>135017.84700000001</v>
      </c>
      <c r="U317" s="12">
        <v>0.05</v>
      </c>
      <c r="V317" s="12"/>
      <c r="W317" s="11"/>
      <c r="X317" s="9" t="s">
        <v>288</v>
      </c>
      <c r="Y317" s="10">
        <v>44258</v>
      </c>
      <c r="Z317" s="13">
        <v>9.5200000000000007E-2</v>
      </c>
      <c r="AC317" s="9" t="s">
        <v>289</v>
      </c>
      <c r="AD317" s="9" t="s">
        <v>290</v>
      </c>
      <c r="AE317" s="8">
        <v>491.85629999999998</v>
      </c>
      <c r="AF317" s="14">
        <v>43.332560000000001</v>
      </c>
      <c r="AG317" s="14">
        <v>0.20141999999999999</v>
      </c>
      <c r="AH317" s="9" t="s">
        <v>3129</v>
      </c>
      <c r="AI317" s="15" t="s">
        <v>319</v>
      </c>
      <c r="AJ317" s="9" t="s">
        <v>293</v>
      </c>
      <c r="AK317" s="9" t="s">
        <v>4016</v>
      </c>
      <c r="AL317" s="9" t="s">
        <v>4017</v>
      </c>
      <c r="AM317" s="9"/>
      <c r="AN317" s="9" t="s">
        <v>4018</v>
      </c>
      <c r="AO317" s="9"/>
      <c r="AP317" s="9" t="s">
        <v>3133</v>
      </c>
      <c r="AQ317" s="9" t="s">
        <v>3512</v>
      </c>
      <c r="AR317" t="b">
        <v>0</v>
      </c>
      <c r="AS317" s="10"/>
      <c r="AT317" s="10" t="s">
        <v>299</v>
      </c>
      <c r="AU317" s="9"/>
      <c r="AW317" s="12"/>
      <c r="AX317" s="11"/>
      <c r="AY317" s="9"/>
      <c r="AZ317" t="b">
        <v>0</v>
      </c>
      <c r="BA317" s="9"/>
      <c r="BB317" s="12"/>
      <c r="BC317" s="11"/>
      <c r="BD317" s="9" t="s">
        <v>325</v>
      </c>
      <c r="BE317" s="9" t="s">
        <v>301</v>
      </c>
      <c r="BF317" s="9" t="s">
        <v>1111</v>
      </c>
      <c r="BG317" s="9" t="s">
        <v>749</v>
      </c>
      <c r="BH317" s="9" t="s">
        <v>304</v>
      </c>
      <c r="BI317" s="9" t="s">
        <v>3499</v>
      </c>
      <c r="BJ317" s="9" t="s">
        <v>3500</v>
      </c>
      <c r="BK317" s="11">
        <v>400</v>
      </c>
      <c r="BL317" s="16" t="s">
        <v>299</v>
      </c>
      <c r="BM317" s="10"/>
      <c r="BN317" s="10"/>
      <c r="BO317" s="10"/>
      <c r="BP317" s="16"/>
      <c r="BQ317" s="16"/>
      <c r="BR317" s="9"/>
      <c r="BS317" s="9"/>
      <c r="BT317" s="9"/>
      <c r="BU317" s="9"/>
      <c r="BV317" s="9"/>
      <c r="BW317" s="10"/>
      <c r="BX317" s="15" t="s">
        <v>4019</v>
      </c>
      <c r="BY317" s="10">
        <v>44761</v>
      </c>
      <c r="BZ317" s="10">
        <v>52065</v>
      </c>
      <c r="CA317" s="10">
        <v>44813</v>
      </c>
      <c r="CC317" s="9" t="s">
        <v>308</v>
      </c>
      <c r="CD317" s="9" t="s">
        <v>309</v>
      </c>
    </row>
    <row r="318" spans="1:82" ht="29.1">
      <c r="A318" s="8">
        <v>11365</v>
      </c>
      <c r="B318" s="9" t="s">
        <v>4020</v>
      </c>
      <c r="C318" s="9" t="s">
        <v>3502</v>
      </c>
      <c r="D318" s="10">
        <v>44729</v>
      </c>
      <c r="E318" s="9" t="s">
        <v>4021</v>
      </c>
      <c r="F318" s="9" t="s">
        <v>4022</v>
      </c>
      <c r="G318" s="9" t="s">
        <v>4023</v>
      </c>
      <c r="H318" s="9" t="s">
        <v>281</v>
      </c>
      <c r="I318" s="9" t="s">
        <v>282</v>
      </c>
      <c r="J318" s="9" t="s">
        <v>283</v>
      </c>
      <c r="K318" s="9" t="s">
        <v>1696</v>
      </c>
      <c r="L318" s="9" t="s">
        <v>4024</v>
      </c>
      <c r="M318" s="9" t="s">
        <v>4025</v>
      </c>
      <c r="N318" s="8">
        <v>1</v>
      </c>
      <c r="O318" s="9" t="s">
        <v>4026</v>
      </c>
      <c r="P318" s="11">
        <v>99.9</v>
      </c>
      <c r="Q318" s="11">
        <v>110</v>
      </c>
      <c r="R318" s="11">
        <v>87</v>
      </c>
      <c r="S318" s="11">
        <v>1419.44</v>
      </c>
      <c r="T318" s="11">
        <v>141802.05600000001</v>
      </c>
      <c r="U318" s="12">
        <v>0.05</v>
      </c>
      <c r="V318" s="12"/>
      <c r="W318" s="11"/>
      <c r="X318" s="9" t="s">
        <v>288</v>
      </c>
      <c r="Y318" s="10">
        <v>43938</v>
      </c>
      <c r="Z318" s="13">
        <v>0.1051</v>
      </c>
      <c r="AC318" s="9" t="s">
        <v>289</v>
      </c>
      <c r="AD318" s="9" t="s">
        <v>290</v>
      </c>
      <c r="AE318" s="8">
        <v>491.85629999999998</v>
      </c>
      <c r="AF318" s="14">
        <v>43.9895</v>
      </c>
      <c r="AG318" s="14">
        <v>3.8957799999999998</v>
      </c>
      <c r="AH318" s="9" t="s">
        <v>3129</v>
      </c>
      <c r="AI318" s="15" t="s">
        <v>4027</v>
      </c>
      <c r="AJ318" s="9" t="s">
        <v>293</v>
      </c>
      <c r="AK318" s="9" t="s">
        <v>4028</v>
      </c>
      <c r="AL318" s="9" t="s">
        <v>4029</v>
      </c>
      <c r="AM318" s="9"/>
      <c r="AN318" s="9" t="s">
        <v>4030</v>
      </c>
      <c r="AO318" s="9"/>
      <c r="AP318" s="9" t="s">
        <v>2946</v>
      </c>
      <c r="AQ318" s="9" t="s">
        <v>3512</v>
      </c>
      <c r="AR318" t="b">
        <v>0</v>
      </c>
      <c r="AS318" s="10"/>
      <c r="AT318" s="10" t="s">
        <v>299</v>
      </c>
      <c r="AU318" s="9"/>
      <c r="AW318" s="12"/>
      <c r="AX318" s="11"/>
      <c r="AY318" s="9"/>
      <c r="AZ318" t="b">
        <v>0</v>
      </c>
      <c r="BA318" s="9"/>
      <c r="BB318" s="12"/>
      <c r="BC318" s="11"/>
      <c r="BD318" s="9" t="s">
        <v>300</v>
      </c>
      <c r="BE318" s="9" t="s">
        <v>86</v>
      </c>
      <c r="BF318" s="9" t="s">
        <v>402</v>
      </c>
      <c r="BG318" s="9" t="s">
        <v>967</v>
      </c>
      <c r="BH318" s="9" t="s">
        <v>304</v>
      </c>
      <c r="BI318" s="9" t="s">
        <v>3513</v>
      </c>
      <c r="BJ318" s="9" t="s">
        <v>3514</v>
      </c>
      <c r="BK318" s="11">
        <v>400</v>
      </c>
      <c r="BL318" s="16" t="s">
        <v>299</v>
      </c>
      <c r="BM318" s="10"/>
      <c r="BN318" s="10"/>
      <c r="BO318" s="10"/>
      <c r="BP318" s="16"/>
      <c r="BQ318" s="16"/>
      <c r="BR318" s="9"/>
      <c r="BS318" s="9"/>
      <c r="BT318" s="9"/>
      <c r="BU318" s="9"/>
      <c r="BV318" s="9"/>
      <c r="BW318" s="10"/>
      <c r="BX318" s="15" t="s">
        <v>4031</v>
      </c>
      <c r="BY318" s="10">
        <v>44729</v>
      </c>
      <c r="BZ318" s="10">
        <v>51988</v>
      </c>
      <c r="CA318" s="10">
        <v>44960</v>
      </c>
      <c r="CC318" s="9" t="s">
        <v>308</v>
      </c>
      <c r="CD318" s="9" t="s">
        <v>309</v>
      </c>
    </row>
    <row r="319" spans="1:82">
      <c r="A319" s="8">
        <v>12110</v>
      </c>
      <c r="B319" s="9" t="s">
        <v>4032</v>
      </c>
      <c r="C319" s="9" t="s">
        <v>3502</v>
      </c>
      <c r="D319" s="10">
        <v>44719</v>
      </c>
      <c r="E319" s="9" t="s">
        <v>4033</v>
      </c>
      <c r="F319" s="9" t="s">
        <v>4034</v>
      </c>
      <c r="G319" s="9" t="s">
        <v>4035</v>
      </c>
      <c r="H319" s="9" t="s">
        <v>281</v>
      </c>
      <c r="I319" s="9" t="s">
        <v>282</v>
      </c>
      <c r="J319" s="9" t="s">
        <v>283</v>
      </c>
      <c r="K319" s="9" t="s">
        <v>1696</v>
      </c>
      <c r="L319" s="9" t="s">
        <v>4036</v>
      </c>
      <c r="M319" s="9" t="s">
        <v>4037</v>
      </c>
      <c r="N319" s="8">
        <v>1</v>
      </c>
      <c r="O319" s="9" t="s">
        <v>4038</v>
      </c>
      <c r="P319" s="11">
        <v>99.9</v>
      </c>
      <c r="Q319" s="11">
        <v>110</v>
      </c>
      <c r="R319" s="11">
        <v>89</v>
      </c>
      <c r="S319" s="11">
        <v>1490.6</v>
      </c>
      <c r="T319" s="11">
        <v>148910.94</v>
      </c>
      <c r="U319" s="12">
        <v>0.05</v>
      </c>
      <c r="V319" s="12"/>
      <c r="W319" s="11"/>
      <c r="X319" s="9" t="s">
        <v>288</v>
      </c>
      <c r="Y319" s="10">
        <v>44043</v>
      </c>
      <c r="Z319" s="13">
        <v>0.10249999999999999</v>
      </c>
      <c r="AC319" s="9" t="s">
        <v>289</v>
      </c>
      <c r="AD319" s="9" t="s">
        <v>290</v>
      </c>
      <c r="AE319" s="8">
        <v>504.45504</v>
      </c>
      <c r="AF319" s="14">
        <v>43.840209999999999</v>
      </c>
      <c r="AG319" s="14">
        <v>3.4769700000000001</v>
      </c>
      <c r="AH319" s="9" t="s">
        <v>3129</v>
      </c>
      <c r="AI319" s="15" t="s">
        <v>319</v>
      </c>
      <c r="AJ319" s="9" t="s">
        <v>293</v>
      </c>
      <c r="AK319" s="9" t="s">
        <v>4039</v>
      </c>
      <c r="AL319" s="9" t="s">
        <v>4040</v>
      </c>
      <c r="AM319" s="9" t="s">
        <v>4041</v>
      </c>
      <c r="AN319" s="9" t="s">
        <v>4042</v>
      </c>
      <c r="AO319" s="9"/>
      <c r="AP319" s="9" t="s">
        <v>2946</v>
      </c>
      <c r="AQ319" s="9" t="s">
        <v>3512</v>
      </c>
      <c r="AR319" t="b">
        <v>0</v>
      </c>
      <c r="AS319" s="10"/>
      <c r="AT319" s="10" t="s">
        <v>299</v>
      </c>
      <c r="AU319" s="9"/>
      <c r="AW319" s="12"/>
      <c r="AX319" s="11"/>
      <c r="AY319" s="9"/>
      <c r="AZ319" t="b">
        <v>0</v>
      </c>
      <c r="BA319" s="9"/>
      <c r="BB319" s="12"/>
      <c r="BC319" s="11"/>
      <c r="BD319" s="9" t="s">
        <v>325</v>
      </c>
      <c r="BE319" s="9" t="s">
        <v>86</v>
      </c>
      <c r="BF319" s="9" t="s">
        <v>402</v>
      </c>
      <c r="BG319" s="9" t="s">
        <v>738</v>
      </c>
      <c r="BH319" s="9" t="s">
        <v>304</v>
      </c>
      <c r="BI319" s="9" t="s">
        <v>3513</v>
      </c>
      <c r="BJ319" s="9" t="s">
        <v>3514</v>
      </c>
      <c r="BK319" s="11">
        <v>400</v>
      </c>
      <c r="BL319" s="16" t="s">
        <v>299</v>
      </c>
      <c r="BM319" s="10"/>
      <c r="BN319" s="10">
        <v>45204.916666666664</v>
      </c>
      <c r="BO319" s="10"/>
      <c r="BP319" s="16"/>
      <c r="BQ319" s="16"/>
      <c r="BR319" s="9"/>
      <c r="BS319" s="9"/>
      <c r="BT319" s="9"/>
      <c r="BU319" s="9"/>
      <c r="BV319" s="9"/>
      <c r="BW319" s="10"/>
      <c r="BX319" s="15" t="s">
        <v>4043</v>
      </c>
      <c r="BY319" s="10">
        <v>44719</v>
      </c>
      <c r="BZ319" s="10">
        <v>51936</v>
      </c>
      <c r="CA319" s="10">
        <v>44880</v>
      </c>
      <c r="CC319" s="9" t="s">
        <v>308</v>
      </c>
      <c r="CD319" s="9" t="s">
        <v>309</v>
      </c>
    </row>
    <row r="320" spans="1:82">
      <c r="A320" s="8">
        <v>12186</v>
      </c>
      <c r="B320" s="9" t="s">
        <v>4044</v>
      </c>
      <c r="C320" s="9" t="s">
        <v>3517</v>
      </c>
      <c r="D320" s="10">
        <v>44698</v>
      </c>
      <c r="E320" s="9" t="s">
        <v>4045</v>
      </c>
      <c r="F320" s="9" t="s">
        <v>2537</v>
      </c>
      <c r="G320" s="9" t="s">
        <v>4046</v>
      </c>
      <c r="H320" s="9" t="s">
        <v>281</v>
      </c>
      <c r="I320" s="9" t="s">
        <v>282</v>
      </c>
      <c r="J320" s="9" t="s">
        <v>283</v>
      </c>
      <c r="K320" s="9" t="s">
        <v>1696</v>
      </c>
      <c r="L320" s="9" t="s">
        <v>4047</v>
      </c>
      <c r="M320" s="9" t="s">
        <v>4048</v>
      </c>
      <c r="N320" s="8">
        <v>1</v>
      </c>
      <c r="O320" s="9" t="s">
        <v>4049</v>
      </c>
      <c r="P320" s="11">
        <v>99.9</v>
      </c>
      <c r="Q320" s="11">
        <v>110</v>
      </c>
      <c r="R320" s="11">
        <v>90</v>
      </c>
      <c r="S320" s="11">
        <v>1352.4</v>
      </c>
      <c r="T320" s="11">
        <v>135104.76</v>
      </c>
      <c r="U320" s="12">
        <v>0.05</v>
      </c>
      <c r="V320" s="12"/>
      <c r="W320" s="11"/>
      <c r="X320" s="9" t="s">
        <v>288</v>
      </c>
      <c r="Y320" s="10">
        <v>44196</v>
      </c>
      <c r="Z320" s="13">
        <v>9.8699999999999996E-2</v>
      </c>
      <c r="AC320" s="9" t="s">
        <v>289</v>
      </c>
      <c r="AD320" s="9" t="s">
        <v>290</v>
      </c>
      <c r="AE320" s="8">
        <v>504.45504</v>
      </c>
      <c r="AF320" s="14">
        <v>45.025390000000002</v>
      </c>
      <c r="AG320" s="14">
        <v>3.78023</v>
      </c>
      <c r="AH320" s="9" t="s">
        <v>3129</v>
      </c>
      <c r="AI320" s="15" t="s">
        <v>319</v>
      </c>
      <c r="AJ320" s="9" t="s">
        <v>293</v>
      </c>
      <c r="AK320" s="9" t="s">
        <v>4050</v>
      </c>
      <c r="AL320" s="9" t="s">
        <v>4051</v>
      </c>
      <c r="AM320" s="9"/>
      <c r="AN320" s="9" t="s">
        <v>4052</v>
      </c>
      <c r="AO320" s="9"/>
      <c r="AP320" s="9" t="s">
        <v>2946</v>
      </c>
      <c r="AQ320" s="9" t="s">
        <v>3134</v>
      </c>
      <c r="AR320" t="b">
        <v>0</v>
      </c>
      <c r="AS320" s="10"/>
      <c r="AT320" s="10" t="s">
        <v>299</v>
      </c>
      <c r="AU320" s="9"/>
      <c r="AW320" s="12"/>
      <c r="AX320" s="11"/>
      <c r="AY320" s="9"/>
      <c r="AZ320" t="b">
        <v>0</v>
      </c>
      <c r="BA320" s="9"/>
      <c r="BB320" s="12"/>
      <c r="BC320" s="11"/>
      <c r="BD320" s="9" t="s">
        <v>325</v>
      </c>
      <c r="BE320" s="9" t="s">
        <v>47</v>
      </c>
      <c r="BF320" s="9" t="s">
        <v>690</v>
      </c>
      <c r="BG320" s="9" t="s">
        <v>738</v>
      </c>
      <c r="BH320" s="9" t="s">
        <v>304</v>
      </c>
      <c r="BI320" s="9" t="s">
        <v>3527</v>
      </c>
      <c r="BJ320" s="9" t="s">
        <v>3528</v>
      </c>
      <c r="BK320" s="11">
        <v>400</v>
      </c>
      <c r="BL320" s="16" t="s">
        <v>299</v>
      </c>
      <c r="BM320" s="10"/>
      <c r="BN320" s="10">
        <v>45204.916666666664</v>
      </c>
      <c r="BO320" s="10"/>
      <c r="BP320" s="16"/>
      <c r="BQ320" s="16"/>
      <c r="BR320" s="9" t="s">
        <v>4053</v>
      </c>
      <c r="BS320" s="9" t="s">
        <v>4054</v>
      </c>
      <c r="BT320" s="9" t="s">
        <v>4055</v>
      </c>
      <c r="BU320" s="9" t="s">
        <v>2537</v>
      </c>
      <c r="BV320" s="9"/>
      <c r="BW320" s="10">
        <v>55335</v>
      </c>
      <c r="BX320" s="15" t="s">
        <v>1438</v>
      </c>
      <c r="BY320" s="10">
        <v>44698</v>
      </c>
      <c r="BZ320" s="10">
        <v>52002</v>
      </c>
      <c r="CA320" s="10">
        <v>44770</v>
      </c>
      <c r="CC320" s="9" t="s">
        <v>308</v>
      </c>
      <c r="CD320" s="9" t="s">
        <v>309</v>
      </c>
    </row>
    <row r="321" spans="1:82">
      <c r="A321" s="8">
        <v>17157</v>
      </c>
      <c r="B321" s="9" t="s">
        <v>4056</v>
      </c>
      <c r="C321" s="9" t="s">
        <v>3487</v>
      </c>
      <c r="D321" s="10">
        <v>44697</v>
      </c>
      <c r="E321" s="9" t="s">
        <v>4057</v>
      </c>
      <c r="F321" s="9" t="s">
        <v>4058</v>
      </c>
      <c r="G321" s="9" t="s">
        <v>4059</v>
      </c>
      <c r="H321" s="9" t="s">
        <v>281</v>
      </c>
      <c r="I321" s="9" t="s">
        <v>282</v>
      </c>
      <c r="J321" s="9" t="s">
        <v>283</v>
      </c>
      <c r="K321" s="9" t="s">
        <v>1696</v>
      </c>
      <c r="L321" s="9" t="s">
        <v>4060</v>
      </c>
      <c r="M321" s="9" t="s">
        <v>4061</v>
      </c>
      <c r="N321" s="8">
        <v>1</v>
      </c>
      <c r="O321" s="9" t="s">
        <v>4062</v>
      </c>
      <c r="P321" s="11">
        <v>99.94</v>
      </c>
      <c r="Q321" s="11">
        <v>110</v>
      </c>
      <c r="R321" s="11">
        <v>89</v>
      </c>
      <c r="S321" s="11">
        <v>1310.26</v>
      </c>
      <c r="T321" s="11">
        <v>130947.3844</v>
      </c>
      <c r="U321" s="12">
        <v>0.05</v>
      </c>
      <c r="V321" s="12"/>
      <c r="W321" s="11"/>
      <c r="X321" s="9" t="s">
        <v>288</v>
      </c>
      <c r="Y321" s="10">
        <v>44082</v>
      </c>
      <c r="Z321" s="13">
        <v>0.10249999999999999</v>
      </c>
      <c r="AC321" s="9" t="s">
        <v>289</v>
      </c>
      <c r="AD321" s="9" t="s">
        <v>290</v>
      </c>
      <c r="AE321" s="8">
        <v>482.21575999999999</v>
      </c>
      <c r="AF321" s="14">
        <v>44.38082</v>
      </c>
      <c r="AG321" s="14">
        <v>2.0769700000000002</v>
      </c>
      <c r="AH321" s="9" t="s">
        <v>3129</v>
      </c>
      <c r="AI321" s="15" t="s">
        <v>319</v>
      </c>
      <c r="AJ321" s="9" t="s">
        <v>293</v>
      </c>
      <c r="AK321" s="9" t="s">
        <v>4063</v>
      </c>
      <c r="AL321" s="9" t="s">
        <v>4064</v>
      </c>
      <c r="AM321" s="9"/>
      <c r="AN321" s="9" t="s">
        <v>4065</v>
      </c>
      <c r="AO321" s="9"/>
      <c r="AP321" s="9" t="s">
        <v>3133</v>
      </c>
      <c r="AQ321" s="9" t="s">
        <v>3512</v>
      </c>
      <c r="AR321" t="b">
        <v>0</v>
      </c>
      <c r="AS321" s="10"/>
      <c r="AT321" s="10" t="s">
        <v>299</v>
      </c>
      <c r="AU321" s="9"/>
      <c r="AW321" s="12"/>
      <c r="AX321" s="11"/>
      <c r="AY321" s="9"/>
      <c r="AZ321" t="b">
        <v>0</v>
      </c>
      <c r="BA321" s="9"/>
      <c r="BB321" s="12"/>
      <c r="BC321" s="11"/>
      <c r="BD321" s="9" t="s">
        <v>325</v>
      </c>
      <c r="BE321" s="9" t="s">
        <v>301</v>
      </c>
      <c r="BF321" s="9" t="s">
        <v>702</v>
      </c>
      <c r="BG321" s="9" t="s">
        <v>738</v>
      </c>
      <c r="BH321" s="9" t="s">
        <v>304</v>
      </c>
      <c r="BI321" s="9" t="s">
        <v>3499</v>
      </c>
      <c r="BJ321" s="9" t="s">
        <v>3500</v>
      </c>
      <c r="BK321" s="11">
        <v>400</v>
      </c>
      <c r="BL321" s="16" t="s">
        <v>299</v>
      </c>
      <c r="BM321" s="10"/>
      <c r="BN321" s="10">
        <v>45204.916666666664</v>
      </c>
      <c r="BO321" s="10"/>
      <c r="BP321" s="16"/>
      <c r="BQ321" s="16"/>
      <c r="BR321" s="9"/>
      <c r="BS321" s="9"/>
      <c r="BT321" s="9"/>
      <c r="BU321" s="9"/>
      <c r="BV321" s="9"/>
      <c r="BW321" s="10"/>
      <c r="BX321" s="15" t="s">
        <v>4066</v>
      </c>
      <c r="BY321" s="10">
        <v>44697</v>
      </c>
      <c r="BZ321" s="10">
        <v>51857</v>
      </c>
      <c r="CA321" s="10">
        <v>45250</v>
      </c>
      <c r="CC321" s="9" t="s">
        <v>308</v>
      </c>
      <c r="CD321" s="9" t="s">
        <v>309</v>
      </c>
    </row>
    <row r="322" spans="1:82">
      <c r="A322" s="8">
        <v>12421</v>
      </c>
      <c r="B322" s="9" t="s">
        <v>4067</v>
      </c>
      <c r="C322" s="9" t="s">
        <v>3797</v>
      </c>
      <c r="D322" s="10">
        <v>44693</v>
      </c>
      <c r="E322" s="9" t="s">
        <v>4068</v>
      </c>
      <c r="F322" s="9" t="s">
        <v>4069</v>
      </c>
      <c r="G322" s="9" t="s">
        <v>4070</v>
      </c>
      <c r="H322" s="9" t="s">
        <v>281</v>
      </c>
      <c r="I322" s="9" t="s">
        <v>282</v>
      </c>
      <c r="J322" s="9" t="s">
        <v>283</v>
      </c>
      <c r="K322" s="9" t="s">
        <v>1696</v>
      </c>
      <c r="L322" s="9" t="s">
        <v>4071</v>
      </c>
      <c r="M322" s="9" t="s">
        <v>4072</v>
      </c>
      <c r="N322" s="8">
        <v>1</v>
      </c>
      <c r="O322" s="9" t="s">
        <v>4073</v>
      </c>
      <c r="P322" s="11">
        <v>99.94</v>
      </c>
      <c r="Q322" s="11">
        <v>110</v>
      </c>
      <c r="R322" s="11">
        <v>90</v>
      </c>
      <c r="S322" s="11">
        <v>1298.24</v>
      </c>
      <c r="T322" s="11">
        <v>129746.1056</v>
      </c>
      <c r="U322" s="12">
        <v>0.05</v>
      </c>
      <c r="V322" s="12"/>
      <c r="W322" s="11"/>
      <c r="X322" s="9" t="s">
        <v>288</v>
      </c>
      <c r="Y322" s="10">
        <v>44152</v>
      </c>
      <c r="Z322" s="13">
        <v>9.8699999999999996E-2</v>
      </c>
      <c r="AC322" s="9" t="s">
        <v>289</v>
      </c>
      <c r="AD322" s="9" t="s">
        <v>290</v>
      </c>
      <c r="AE322" s="8">
        <v>482.21575999999999</v>
      </c>
      <c r="AF322" s="14">
        <v>45.429110000000001</v>
      </c>
      <c r="AG322" s="14">
        <v>0.42910999999999999</v>
      </c>
      <c r="AH322" s="9" t="s">
        <v>3129</v>
      </c>
      <c r="AI322" s="15" t="s">
        <v>319</v>
      </c>
      <c r="AJ322" s="9" t="s">
        <v>293</v>
      </c>
      <c r="AK322" s="9" t="s">
        <v>4074</v>
      </c>
      <c r="AL322" s="9" t="s">
        <v>4075</v>
      </c>
      <c r="AM322" s="9"/>
      <c r="AN322" s="9" t="s">
        <v>4076</v>
      </c>
      <c r="AO322" s="9" t="s">
        <v>4077</v>
      </c>
      <c r="AP322" s="9" t="s">
        <v>597</v>
      </c>
      <c r="AQ322" s="9" t="s">
        <v>3512</v>
      </c>
      <c r="AR322" t="b">
        <v>0</v>
      </c>
      <c r="AS322" s="10"/>
      <c r="AT322" s="10" t="s">
        <v>299</v>
      </c>
      <c r="AU322" s="9"/>
      <c r="AW322" s="12"/>
      <c r="AX322" s="11"/>
      <c r="AY322" s="9"/>
      <c r="AZ322" t="b">
        <v>0</v>
      </c>
      <c r="BA322" s="9"/>
      <c r="BB322" s="12"/>
      <c r="BC322" s="11"/>
      <c r="BD322" s="9" t="s">
        <v>325</v>
      </c>
      <c r="BE322" s="9" t="s">
        <v>47</v>
      </c>
      <c r="BF322" s="9" t="s">
        <v>402</v>
      </c>
      <c r="BG322" s="9" t="s">
        <v>749</v>
      </c>
      <c r="BH322" s="9" t="s">
        <v>304</v>
      </c>
      <c r="BI322" s="9" t="s">
        <v>3802</v>
      </c>
      <c r="BJ322" s="9" t="s">
        <v>3803</v>
      </c>
      <c r="BK322" s="11">
        <v>400</v>
      </c>
      <c r="BL322" s="16" t="s">
        <v>299</v>
      </c>
      <c r="BM322" s="10"/>
      <c r="BN322" s="10"/>
      <c r="BO322" s="10"/>
      <c r="BP322" s="16"/>
      <c r="BQ322" s="16"/>
      <c r="BR322" s="9" t="s">
        <v>4078</v>
      </c>
      <c r="BS322" s="9" t="s">
        <v>4079</v>
      </c>
      <c r="BT322" s="9" t="s">
        <v>4080</v>
      </c>
      <c r="BU322" s="9" t="s">
        <v>4069</v>
      </c>
      <c r="BV322" s="9"/>
      <c r="BW322" s="10">
        <v>55312</v>
      </c>
      <c r="BX322" s="15" t="s">
        <v>4081</v>
      </c>
      <c r="BY322" s="10">
        <v>44693</v>
      </c>
      <c r="BZ322" s="10">
        <v>51997</v>
      </c>
      <c r="CA322" s="10">
        <v>44749</v>
      </c>
      <c r="CC322" s="9" t="s">
        <v>308</v>
      </c>
      <c r="CD322" s="9" t="s">
        <v>309</v>
      </c>
    </row>
    <row r="323" spans="1:82" ht="29.1">
      <c r="A323" s="8">
        <v>84037</v>
      </c>
      <c r="B323" s="9" t="s">
        <v>4082</v>
      </c>
      <c r="C323" s="9" t="s">
        <v>3759</v>
      </c>
      <c r="D323" s="10">
        <v>44687</v>
      </c>
      <c r="E323" s="9" t="s">
        <v>4083</v>
      </c>
      <c r="F323" s="9" t="s">
        <v>4084</v>
      </c>
      <c r="G323" s="9" t="s">
        <v>4085</v>
      </c>
      <c r="H323" s="9" t="s">
        <v>315</v>
      </c>
      <c r="I323" s="9" t="s">
        <v>282</v>
      </c>
      <c r="J323" s="9" t="s">
        <v>283</v>
      </c>
      <c r="K323" s="9" t="s">
        <v>1696</v>
      </c>
      <c r="L323" s="9" t="s">
        <v>4086</v>
      </c>
      <c r="M323" s="9" t="s">
        <v>4087</v>
      </c>
      <c r="N323" s="8">
        <v>1</v>
      </c>
      <c r="O323" s="9" t="s">
        <v>4088</v>
      </c>
      <c r="P323" s="11">
        <v>100</v>
      </c>
      <c r="Q323" s="11">
        <v>100</v>
      </c>
      <c r="R323" s="11">
        <v>100</v>
      </c>
      <c r="S323" s="11">
        <v>1274.21</v>
      </c>
      <c r="T323" s="11">
        <v>127421</v>
      </c>
      <c r="U323" s="12">
        <v>0.05</v>
      </c>
      <c r="V323" s="12"/>
      <c r="W323" s="11"/>
      <c r="X323" s="9" t="s">
        <v>288</v>
      </c>
      <c r="Y323" s="10">
        <v>44084</v>
      </c>
      <c r="Z323" s="13">
        <v>0.10249999999999999</v>
      </c>
      <c r="AC323" s="9" t="s">
        <v>289</v>
      </c>
      <c r="AD323" s="9" t="s">
        <v>290</v>
      </c>
      <c r="AE323" s="8">
        <v>508.19173999999998</v>
      </c>
      <c r="AF323" s="14">
        <v>46.574710000000003</v>
      </c>
      <c r="AG323" s="14">
        <v>-0.88458999999999999</v>
      </c>
      <c r="AH323" s="9" t="s">
        <v>3129</v>
      </c>
      <c r="AI323" s="15" t="s">
        <v>4089</v>
      </c>
      <c r="AJ323" s="9" t="s">
        <v>293</v>
      </c>
      <c r="AK323" s="9" t="s">
        <v>4090</v>
      </c>
      <c r="AL323" s="9" t="s">
        <v>4091</v>
      </c>
      <c r="AM323" s="9"/>
      <c r="AN323" s="9" t="s">
        <v>4092</v>
      </c>
      <c r="AO323" s="9"/>
      <c r="AP323" s="9" t="s">
        <v>3769</v>
      </c>
      <c r="AQ323" s="9" t="s">
        <v>3178</v>
      </c>
      <c r="AR323" t="b">
        <v>1</v>
      </c>
      <c r="AS323" s="10">
        <v>51992</v>
      </c>
      <c r="AT323" s="10" t="s">
        <v>299</v>
      </c>
      <c r="AU323" s="9" t="s">
        <v>612</v>
      </c>
      <c r="AW323" s="12"/>
      <c r="AX323" s="11">
        <v>32000</v>
      </c>
      <c r="AY323" s="9"/>
      <c r="AZ323" t="b">
        <v>1</v>
      </c>
      <c r="BA323" s="9" t="s">
        <v>242</v>
      </c>
      <c r="BB323" s="12">
        <v>0.1</v>
      </c>
      <c r="BC323" s="11"/>
      <c r="BD323" s="9" t="s">
        <v>300</v>
      </c>
      <c r="BE323" s="9" t="s">
        <v>86</v>
      </c>
      <c r="BF323" s="9" t="s">
        <v>402</v>
      </c>
      <c r="BG323" s="9" t="s">
        <v>529</v>
      </c>
      <c r="BH323" s="9" t="s">
        <v>304</v>
      </c>
      <c r="BI323" s="9" t="s">
        <v>3770</v>
      </c>
      <c r="BJ323" s="9" t="s">
        <v>3771</v>
      </c>
      <c r="BK323" s="11">
        <v>400</v>
      </c>
      <c r="BL323" s="16" t="s">
        <v>299</v>
      </c>
      <c r="BM323" s="10"/>
      <c r="BN323" s="10"/>
      <c r="BO323" s="10"/>
      <c r="BP323" s="16"/>
      <c r="BQ323" s="16"/>
      <c r="BR323" s="9" t="s">
        <v>4093</v>
      </c>
      <c r="BS323" s="9" t="s">
        <v>4094</v>
      </c>
      <c r="BT323" s="9" t="s">
        <v>4095</v>
      </c>
      <c r="BU323" s="9" t="s">
        <v>4084</v>
      </c>
      <c r="BV323" s="9"/>
      <c r="BW323" s="10"/>
      <c r="BX323" s="15" t="s">
        <v>1155</v>
      </c>
      <c r="BY323" s="10">
        <v>44687</v>
      </c>
      <c r="BZ323" s="10">
        <v>51991</v>
      </c>
      <c r="CA323" s="10">
        <v>45008</v>
      </c>
      <c r="CC323" s="9" t="s">
        <v>308</v>
      </c>
      <c r="CD323" s="9" t="s">
        <v>309</v>
      </c>
    </row>
    <row r="324" spans="1:82">
      <c r="A324" s="8">
        <v>11347</v>
      </c>
      <c r="B324" s="9" t="s">
        <v>4096</v>
      </c>
      <c r="C324" s="9" t="s">
        <v>3502</v>
      </c>
      <c r="D324" s="10">
        <v>44662</v>
      </c>
      <c r="E324" s="9" t="s">
        <v>4097</v>
      </c>
      <c r="F324" s="9" t="s">
        <v>1307</v>
      </c>
      <c r="G324" s="9" t="s">
        <v>4098</v>
      </c>
      <c r="H324" s="9" t="s">
        <v>281</v>
      </c>
      <c r="I324" s="9" t="s">
        <v>282</v>
      </c>
      <c r="J324" s="9" t="s">
        <v>283</v>
      </c>
      <c r="K324" s="9" t="s">
        <v>1696</v>
      </c>
      <c r="L324" s="9" t="s">
        <v>4099</v>
      </c>
      <c r="M324" s="9" t="s">
        <v>4100</v>
      </c>
      <c r="N324" s="8">
        <v>1</v>
      </c>
      <c r="O324" s="9" t="s">
        <v>4101</v>
      </c>
      <c r="P324" s="11">
        <v>99.94</v>
      </c>
      <c r="Q324" s="11">
        <v>110</v>
      </c>
      <c r="R324" s="11">
        <v>90</v>
      </c>
      <c r="S324" s="11">
        <v>1261.33</v>
      </c>
      <c r="T324" s="11">
        <v>126057.3202</v>
      </c>
      <c r="U324" s="12">
        <v>0.05</v>
      </c>
      <c r="V324" s="12"/>
      <c r="W324" s="11"/>
      <c r="X324" s="9" t="s">
        <v>288</v>
      </c>
      <c r="Y324" s="10">
        <v>44089</v>
      </c>
      <c r="Z324" s="13">
        <v>0.10249999999999999</v>
      </c>
      <c r="AC324" s="9" t="s">
        <v>289</v>
      </c>
      <c r="AD324" s="9" t="s">
        <v>290</v>
      </c>
      <c r="AE324" s="8">
        <v>482.21575999999999</v>
      </c>
      <c r="AF324" s="14">
        <v>44.22748</v>
      </c>
      <c r="AG324" s="14">
        <v>1.0734900000000001</v>
      </c>
      <c r="AH324" s="9" t="s">
        <v>3129</v>
      </c>
      <c r="AI324" s="15" t="s">
        <v>319</v>
      </c>
      <c r="AJ324" s="9" t="s">
        <v>293</v>
      </c>
      <c r="AK324" s="9" t="s">
        <v>4102</v>
      </c>
      <c r="AL324" s="9" t="s">
        <v>4103</v>
      </c>
      <c r="AM324" s="9"/>
      <c r="AN324" s="9" t="s">
        <v>4104</v>
      </c>
      <c r="AO324" s="9"/>
      <c r="AP324" s="9" t="s">
        <v>3133</v>
      </c>
      <c r="AQ324" s="9" t="s">
        <v>3134</v>
      </c>
      <c r="AR324" t="b">
        <v>0</v>
      </c>
      <c r="AS324" s="10"/>
      <c r="AT324" s="10" t="s">
        <v>299</v>
      </c>
      <c r="AU324" s="9"/>
      <c r="AW324" s="12"/>
      <c r="AX324" s="11"/>
      <c r="AY324" s="9"/>
      <c r="AZ324" t="b">
        <v>0</v>
      </c>
      <c r="BA324" s="9"/>
      <c r="BB324" s="12"/>
      <c r="BC324" s="11"/>
      <c r="BD324" s="9" t="s">
        <v>325</v>
      </c>
      <c r="BE324" s="9" t="s">
        <v>86</v>
      </c>
      <c r="BF324" s="9" t="s">
        <v>402</v>
      </c>
      <c r="BG324" s="9" t="s">
        <v>749</v>
      </c>
      <c r="BH324" s="9" t="s">
        <v>304</v>
      </c>
      <c r="BI324" s="9" t="s">
        <v>3513</v>
      </c>
      <c r="BJ324" s="9" t="s">
        <v>3514</v>
      </c>
      <c r="BK324" s="11">
        <v>400</v>
      </c>
      <c r="BL324" s="16" t="s">
        <v>299</v>
      </c>
      <c r="BM324" s="10"/>
      <c r="BN324" s="10"/>
      <c r="BO324" s="10"/>
      <c r="BP324" s="16"/>
      <c r="BQ324" s="16"/>
      <c r="BR324" s="9"/>
      <c r="BS324" s="9"/>
      <c r="BT324" s="9"/>
      <c r="BU324" s="9"/>
      <c r="BV324" s="9"/>
      <c r="BW324" s="10"/>
      <c r="BX324" s="15" t="s">
        <v>4105</v>
      </c>
      <c r="BY324" s="10">
        <v>44662</v>
      </c>
      <c r="BZ324" s="10">
        <v>51966</v>
      </c>
      <c r="CA324" s="10">
        <v>44985</v>
      </c>
      <c r="CC324" s="9" t="s">
        <v>308</v>
      </c>
      <c r="CD324" s="9" t="s">
        <v>309</v>
      </c>
    </row>
    <row r="325" spans="1:82">
      <c r="A325" s="8">
        <v>13841</v>
      </c>
      <c r="B325" s="9" t="s">
        <v>4106</v>
      </c>
      <c r="C325" s="9" t="s">
        <v>3487</v>
      </c>
      <c r="D325" s="10">
        <v>44659</v>
      </c>
      <c r="E325" s="9" t="s">
        <v>4107</v>
      </c>
      <c r="F325" s="9" t="s">
        <v>4108</v>
      </c>
      <c r="G325" s="9" t="s">
        <v>4109</v>
      </c>
      <c r="H325" s="9" t="s">
        <v>281</v>
      </c>
      <c r="I325" s="9" t="s">
        <v>282</v>
      </c>
      <c r="J325" s="9" t="s">
        <v>283</v>
      </c>
      <c r="K325" s="9" t="s">
        <v>1696</v>
      </c>
      <c r="L325" s="9" t="s">
        <v>4110</v>
      </c>
      <c r="M325" s="9" t="s">
        <v>4111</v>
      </c>
      <c r="N325" s="8">
        <v>1</v>
      </c>
      <c r="O325" s="9" t="s">
        <v>4112</v>
      </c>
      <c r="P325" s="11">
        <v>99.9</v>
      </c>
      <c r="Q325" s="11">
        <v>110</v>
      </c>
      <c r="R325" s="11">
        <v>90</v>
      </c>
      <c r="S325" s="11">
        <v>1350.81</v>
      </c>
      <c r="T325" s="11">
        <v>134945.91899999999</v>
      </c>
      <c r="U325" s="12">
        <v>0.05</v>
      </c>
      <c r="V325" s="12"/>
      <c r="W325" s="11"/>
      <c r="X325" s="9" t="s">
        <v>288</v>
      </c>
      <c r="Y325" s="10">
        <v>44152</v>
      </c>
      <c r="Z325" s="13">
        <v>9.8699999999999996E-2</v>
      </c>
      <c r="AC325" s="9" t="s">
        <v>289</v>
      </c>
      <c r="AD325" s="9" t="s">
        <v>290</v>
      </c>
      <c r="AE325" s="8">
        <v>504.45504</v>
      </c>
      <c r="AF325" s="14">
        <v>43.541780000000003</v>
      </c>
      <c r="AG325" s="14">
        <v>1.05213</v>
      </c>
      <c r="AH325" s="9" t="s">
        <v>3129</v>
      </c>
      <c r="AI325" s="15" t="s">
        <v>319</v>
      </c>
      <c r="AJ325" s="9" t="s">
        <v>293</v>
      </c>
      <c r="AK325" s="9" t="s">
        <v>4113</v>
      </c>
      <c r="AL325" s="9" t="s">
        <v>4114</v>
      </c>
      <c r="AM325" s="9"/>
      <c r="AN325" s="9" t="s">
        <v>4115</v>
      </c>
      <c r="AO325" s="9"/>
      <c r="AP325" s="9" t="s">
        <v>2760</v>
      </c>
      <c r="AQ325" s="9" t="s">
        <v>3134</v>
      </c>
      <c r="AR325" t="b">
        <v>0</v>
      </c>
      <c r="AS325" s="10"/>
      <c r="AT325" s="10" t="s">
        <v>299</v>
      </c>
      <c r="AU325" s="9"/>
      <c r="AW325" s="12"/>
      <c r="AX325" s="11"/>
      <c r="AY325" s="9"/>
      <c r="AZ325" t="b">
        <v>0</v>
      </c>
      <c r="BA325" s="9"/>
      <c r="BB325" s="12"/>
      <c r="BC325" s="11"/>
      <c r="BD325" s="9" t="s">
        <v>325</v>
      </c>
      <c r="BE325" s="9" t="s">
        <v>301</v>
      </c>
      <c r="BF325" s="9" t="s">
        <v>690</v>
      </c>
      <c r="BG325" s="9" t="s">
        <v>749</v>
      </c>
      <c r="BH325" s="9" t="s">
        <v>304</v>
      </c>
      <c r="BI325" s="9" t="s">
        <v>3499</v>
      </c>
      <c r="BJ325" s="9" t="s">
        <v>3500</v>
      </c>
      <c r="BK325" s="11">
        <v>400</v>
      </c>
      <c r="BL325" s="16" t="s">
        <v>299</v>
      </c>
      <c r="BM325" s="10"/>
      <c r="BN325" s="10">
        <v>45204.916666666664</v>
      </c>
      <c r="BO325" s="10"/>
      <c r="BP325" s="16"/>
      <c r="BQ325" s="16"/>
      <c r="BR325" s="9"/>
      <c r="BS325" s="9"/>
      <c r="BT325" s="9"/>
      <c r="BU325" s="9"/>
      <c r="BV325" s="9"/>
      <c r="BW325" s="10"/>
      <c r="BX325" s="15" t="s">
        <v>4116</v>
      </c>
      <c r="BY325" s="10">
        <v>44659</v>
      </c>
      <c r="BZ325" s="10">
        <v>51963</v>
      </c>
      <c r="CA325" s="10">
        <v>44754</v>
      </c>
      <c r="CC325" s="9" t="s">
        <v>308</v>
      </c>
      <c r="CD325" s="9" t="s">
        <v>309</v>
      </c>
    </row>
    <row r="326" spans="1:82">
      <c r="A326" s="8">
        <v>12690</v>
      </c>
      <c r="B326" s="9" t="s">
        <v>2923</v>
      </c>
      <c r="C326" s="9" t="s">
        <v>3797</v>
      </c>
      <c r="D326" s="10">
        <v>44658</v>
      </c>
      <c r="E326" s="9" t="s">
        <v>4117</v>
      </c>
      <c r="F326" s="9" t="s">
        <v>1498</v>
      </c>
      <c r="G326" s="9" t="s">
        <v>4118</v>
      </c>
      <c r="H326" s="9" t="s">
        <v>281</v>
      </c>
      <c r="I326" s="9" t="s">
        <v>282</v>
      </c>
      <c r="J326" s="9" t="s">
        <v>283</v>
      </c>
      <c r="K326" s="9" t="s">
        <v>1696</v>
      </c>
      <c r="L326" s="9" t="s">
        <v>4119</v>
      </c>
      <c r="M326" s="9" t="s">
        <v>4120</v>
      </c>
      <c r="N326" s="8">
        <v>1</v>
      </c>
      <c r="O326" s="9" t="s">
        <v>4121</v>
      </c>
      <c r="P326" s="11">
        <v>99.9</v>
      </c>
      <c r="Q326" s="11">
        <v>110</v>
      </c>
      <c r="R326" s="11">
        <v>89</v>
      </c>
      <c r="S326" s="11">
        <v>1317.54</v>
      </c>
      <c r="T326" s="11">
        <v>131622.24600000001</v>
      </c>
      <c r="U326" s="12">
        <v>0.05</v>
      </c>
      <c r="V326" s="12"/>
      <c r="W326" s="11"/>
      <c r="X326" s="9" t="s">
        <v>288</v>
      </c>
      <c r="Y326" s="10">
        <v>44005</v>
      </c>
      <c r="Z326" s="13">
        <v>0.1051</v>
      </c>
      <c r="AC326" s="9" t="s">
        <v>289</v>
      </c>
      <c r="AD326" s="9" t="s">
        <v>290</v>
      </c>
      <c r="AE326" s="8">
        <v>491.85629999999998</v>
      </c>
      <c r="AF326" s="14">
        <v>45.285530000000001</v>
      </c>
      <c r="AG326" s="14">
        <v>2.1248300000000002</v>
      </c>
      <c r="AH326" s="9" t="s">
        <v>3129</v>
      </c>
      <c r="AI326" s="15" t="s">
        <v>319</v>
      </c>
      <c r="AJ326" s="9" t="s">
        <v>293</v>
      </c>
      <c r="AK326" s="9" t="s">
        <v>2929</v>
      </c>
      <c r="AL326" s="9" t="s">
        <v>2930</v>
      </c>
      <c r="AM326" s="9"/>
      <c r="AN326" s="9" t="s">
        <v>2931</v>
      </c>
      <c r="AO326" s="9"/>
      <c r="AP326" s="9" t="s">
        <v>597</v>
      </c>
      <c r="AQ326" s="9" t="s">
        <v>3512</v>
      </c>
      <c r="AR326" t="b">
        <v>0</v>
      </c>
      <c r="AS326" s="10"/>
      <c r="AT326" s="10" t="s">
        <v>299</v>
      </c>
      <c r="AU326" s="9"/>
      <c r="AW326" s="12"/>
      <c r="AX326" s="11"/>
      <c r="AY326" s="9"/>
      <c r="AZ326" t="b">
        <v>0</v>
      </c>
      <c r="BA326" s="9"/>
      <c r="BB326" s="12"/>
      <c r="BC326" s="11"/>
      <c r="BD326" s="9" t="s">
        <v>325</v>
      </c>
      <c r="BE326" s="9" t="s">
        <v>47</v>
      </c>
      <c r="BF326" s="9" t="s">
        <v>402</v>
      </c>
      <c r="BG326" s="9" t="s">
        <v>749</v>
      </c>
      <c r="BH326" s="9" t="s">
        <v>304</v>
      </c>
      <c r="BI326" s="9" t="s">
        <v>3802</v>
      </c>
      <c r="BJ326" s="9" t="s">
        <v>3803</v>
      </c>
      <c r="BK326" s="11">
        <v>400</v>
      </c>
      <c r="BL326" s="16" t="s">
        <v>299</v>
      </c>
      <c r="BM326" s="10"/>
      <c r="BN326" s="10"/>
      <c r="BO326" s="10"/>
      <c r="BP326" s="16"/>
      <c r="BQ326" s="16"/>
      <c r="BR326" s="9" t="s">
        <v>2929</v>
      </c>
      <c r="BS326" s="9" t="s">
        <v>2933</v>
      </c>
      <c r="BT326" s="9" t="s">
        <v>2925</v>
      </c>
      <c r="BU326" s="9" t="s">
        <v>1498</v>
      </c>
      <c r="BV326" s="9"/>
      <c r="BW326" s="10">
        <v>55279</v>
      </c>
      <c r="BX326" s="15" t="s">
        <v>458</v>
      </c>
      <c r="BY326" s="10">
        <v>44658</v>
      </c>
      <c r="BZ326" s="10">
        <v>51962</v>
      </c>
      <c r="CA326" s="10">
        <v>44782</v>
      </c>
      <c r="CC326" s="9" t="s">
        <v>308</v>
      </c>
      <c r="CD326" s="9" t="s">
        <v>309</v>
      </c>
    </row>
    <row r="327" spans="1:82">
      <c r="A327" s="8">
        <v>13883</v>
      </c>
      <c r="B327" s="9" t="s">
        <v>4122</v>
      </c>
      <c r="C327" s="9" t="s">
        <v>3487</v>
      </c>
      <c r="D327" s="10">
        <v>44658</v>
      </c>
      <c r="E327" s="9" t="s">
        <v>4123</v>
      </c>
      <c r="F327" s="9" t="s">
        <v>1498</v>
      </c>
      <c r="G327" s="9" t="s">
        <v>4124</v>
      </c>
      <c r="H327" s="9" t="s">
        <v>281</v>
      </c>
      <c r="I327" s="9" t="s">
        <v>282</v>
      </c>
      <c r="J327" s="9" t="s">
        <v>547</v>
      </c>
      <c r="K327" s="9" t="s">
        <v>1696</v>
      </c>
      <c r="L327" s="9" t="s">
        <v>4125</v>
      </c>
      <c r="M327" s="9" t="s">
        <v>4126</v>
      </c>
      <c r="N327" s="8">
        <v>1</v>
      </c>
      <c r="O327" s="9" t="s">
        <v>4127</v>
      </c>
      <c r="P327" s="11">
        <v>99.75</v>
      </c>
      <c r="Q327" s="11">
        <v>110</v>
      </c>
      <c r="R327" s="11">
        <v>89</v>
      </c>
      <c r="S327" s="11">
        <v>1320.57</v>
      </c>
      <c r="T327" s="11">
        <v>131726.85750000001</v>
      </c>
      <c r="U327" s="12">
        <v>0.05</v>
      </c>
      <c r="V327" s="12"/>
      <c r="W327" s="11"/>
      <c r="X327" s="9" t="s">
        <v>288</v>
      </c>
      <c r="Y327" s="10">
        <v>44027</v>
      </c>
      <c r="Z327" s="13">
        <v>0.10249999999999999</v>
      </c>
      <c r="AC327" s="9" t="s">
        <v>289</v>
      </c>
      <c r="AD327" s="9" t="s">
        <v>290</v>
      </c>
      <c r="AE327" s="8">
        <v>484.56954000000002</v>
      </c>
      <c r="AF327" s="14">
        <v>45.281559999999999</v>
      </c>
      <c r="AG327" s="14">
        <v>2.2009300000000001</v>
      </c>
      <c r="AH327" s="9" t="s">
        <v>3129</v>
      </c>
      <c r="AI327" s="15" t="s">
        <v>319</v>
      </c>
      <c r="AJ327" s="9" t="s">
        <v>293</v>
      </c>
      <c r="AK327" s="9" t="s">
        <v>4128</v>
      </c>
      <c r="AL327" s="9" t="s">
        <v>4129</v>
      </c>
      <c r="AM327" s="9"/>
      <c r="AN327" s="9" t="s">
        <v>4130</v>
      </c>
      <c r="AO327" s="9"/>
      <c r="AP327" s="9" t="s">
        <v>597</v>
      </c>
      <c r="AQ327" s="9" t="s">
        <v>528</v>
      </c>
      <c r="AR327" t="b">
        <v>0</v>
      </c>
      <c r="AS327" s="10"/>
      <c r="AT327" s="10" t="s">
        <v>299</v>
      </c>
      <c r="AU327" s="9"/>
      <c r="AW327" s="12"/>
      <c r="AX327" s="11"/>
      <c r="AY327" s="9"/>
      <c r="AZ327" t="b">
        <v>0</v>
      </c>
      <c r="BA327" s="9"/>
      <c r="BB327" s="12"/>
      <c r="BC327" s="11"/>
      <c r="BD327" s="9" t="s">
        <v>325</v>
      </c>
      <c r="BE327" s="9" t="s">
        <v>301</v>
      </c>
      <c r="BF327" s="9" t="s">
        <v>402</v>
      </c>
      <c r="BG327" s="9" t="s">
        <v>749</v>
      </c>
      <c r="BH327" s="9" t="s">
        <v>304</v>
      </c>
      <c r="BI327" s="9" t="s">
        <v>3499</v>
      </c>
      <c r="BJ327" s="9" t="s">
        <v>3500</v>
      </c>
      <c r="BK327" s="11">
        <v>400</v>
      </c>
      <c r="BL327" s="16" t="s">
        <v>299</v>
      </c>
      <c r="BM327" s="10"/>
      <c r="BN327" s="10"/>
      <c r="BO327" s="10"/>
      <c r="BP327" s="16"/>
      <c r="BQ327" s="16"/>
      <c r="BR327" s="9"/>
      <c r="BS327" s="9"/>
      <c r="BT327" s="9"/>
      <c r="BU327" s="9"/>
      <c r="BV327" s="9"/>
      <c r="BW327" s="10"/>
      <c r="BX327" s="15" t="s">
        <v>4131</v>
      </c>
      <c r="BY327" s="10">
        <v>44658</v>
      </c>
      <c r="BZ327" s="10">
        <v>51746</v>
      </c>
      <c r="CA327" s="10">
        <v>44991</v>
      </c>
      <c r="CC327" s="9" t="s">
        <v>308</v>
      </c>
      <c r="CD327" s="9" t="s">
        <v>309</v>
      </c>
    </row>
    <row r="328" spans="1:82">
      <c r="A328" s="8">
        <v>15266</v>
      </c>
      <c r="B328" s="9" t="s">
        <v>4132</v>
      </c>
      <c r="C328" s="9" t="s">
        <v>3487</v>
      </c>
      <c r="D328" s="10">
        <v>44656</v>
      </c>
      <c r="E328" s="9" t="s">
        <v>4133</v>
      </c>
      <c r="F328" s="9" t="s">
        <v>694</v>
      </c>
      <c r="G328" s="9" t="s">
        <v>4134</v>
      </c>
      <c r="H328" s="9" t="s">
        <v>281</v>
      </c>
      <c r="I328" s="9" t="s">
        <v>282</v>
      </c>
      <c r="J328" s="9" t="s">
        <v>283</v>
      </c>
      <c r="K328" s="9" t="s">
        <v>1696</v>
      </c>
      <c r="L328" s="9" t="s">
        <v>4135</v>
      </c>
      <c r="M328" s="9" t="s">
        <v>4136</v>
      </c>
      <c r="N328" s="8">
        <v>1</v>
      </c>
      <c r="O328" s="9" t="s">
        <v>4137</v>
      </c>
      <c r="P328" s="11">
        <v>99.9</v>
      </c>
      <c r="Q328" s="11">
        <v>110</v>
      </c>
      <c r="R328" s="11">
        <v>90</v>
      </c>
      <c r="S328" s="11">
        <v>1398</v>
      </c>
      <c r="T328" s="11">
        <v>139660.20000000001</v>
      </c>
      <c r="U328" s="12">
        <v>1.9E-2</v>
      </c>
      <c r="V328" s="12"/>
      <c r="W328" s="11"/>
      <c r="X328" s="9" t="s">
        <v>288</v>
      </c>
      <c r="Y328" s="10">
        <v>44152</v>
      </c>
      <c r="Z328" s="13">
        <v>9.8699999999999996E-2</v>
      </c>
      <c r="AC328" s="9" t="s">
        <v>289</v>
      </c>
      <c r="AD328" s="9" t="s">
        <v>290</v>
      </c>
      <c r="AE328" s="8">
        <v>491.85629999999998</v>
      </c>
      <c r="AF328" s="14">
        <v>43.294310000000003</v>
      </c>
      <c r="AG328" s="14">
        <v>2.6877</v>
      </c>
      <c r="AH328" s="9" t="s">
        <v>3129</v>
      </c>
      <c r="AI328" s="15" t="s">
        <v>319</v>
      </c>
      <c r="AJ328" s="9" t="s">
        <v>293</v>
      </c>
      <c r="AK328" s="9" t="s">
        <v>4138</v>
      </c>
      <c r="AL328" s="9" t="s">
        <v>4139</v>
      </c>
      <c r="AM328" s="9"/>
      <c r="AN328" s="9" t="s">
        <v>4140</v>
      </c>
      <c r="AO328" s="9"/>
      <c r="AP328" s="9" t="s">
        <v>3133</v>
      </c>
      <c r="AQ328" s="9" t="s">
        <v>3134</v>
      </c>
      <c r="AR328" t="b">
        <v>0</v>
      </c>
      <c r="AS328" s="10"/>
      <c r="AT328" s="10" t="s">
        <v>299</v>
      </c>
      <c r="AU328" s="9"/>
      <c r="AW328" s="12"/>
      <c r="AX328" s="11"/>
      <c r="AY328" s="9"/>
      <c r="AZ328" t="b">
        <v>0</v>
      </c>
      <c r="BA328" s="9"/>
      <c r="BB328" s="12"/>
      <c r="BC328" s="11"/>
      <c r="BD328" s="9" t="s">
        <v>325</v>
      </c>
      <c r="BE328" s="9" t="s">
        <v>301</v>
      </c>
      <c r="BF328" s="9" t="s">
        <v>402</v>
      </c>
      <c r="BG328" s="9" t="s">
        <v>738</v>
      </c>
      <c r="BH328" s="9" t="s">
        <v>304</v>
      </c>
      <c r="BI328" s="9" t="s">
        <v>3499</v>
      </c>
      <c r="BJ328" s="9" t="s">
        <v>3500</v>
      </c>
      <c r="BK328" s="11">
        <v>400</v>
      </c>
      <c r="BL328" s="16" t="s">
        <v>299</v>
      </c>
      <c r="BM328" s="10"/>
      <c r="BN328" s="10">
        <v>45204.916666666664</v>
      </c>
      <c r="BO328" s="10"/>
      <c r="BP328" s="16"/>
      <c r="BQ328" s="16"/>
      <c r="BR328" s="9"/>
      <c r="BS328" s="9"/>
      <c r="BT328" s="9"/>
      <c r="BU328" s="9"/>
      <c r="BV328" s="9"/>
      <c r="BW328" s="10"/>
      <c r="BX328" s="15" t="s">
        <v>4141</v>
      </c>
      <c r="BY328" s="10">
        <v>44656</v>
      </c>
      <c r="BZ328" s="10">
        <v>51960</v>
      </c>
      <c r="CA328" s="10">
        <v>44791</v>
      </c>
      <c r="CC328" s="9" t="s">
        <v>308</v>
      </c>
      <c r="CD328" s="9" t="s">
        <v>309</v>
      </c>
    </row>
    <row r="329" spans="1:82" ht="29.1">
      <c r="A329" s="8">
        <v>84036</v>
      </c>
      <c r="B329" s="9" t="s">
        <v>4142</v>
      </c>
      <c r="C329" s="9" t="s">
        <v>3759</v>
      </c>
      <c r="D329" s="10">
        <v>44651</v>
      </c>
      <c r="E329" s="9" t="s">
        <v>4143</v>
      </c>
      <c r="F329" s="9" t="s">
        <v>4144</v>
      </c>
      <c r="G329" s="9" t="s">
        <v>4145</v>
      </c>
      <c r="H329" s="9" t="s">
        <v>281</v>
      </c>
      <c r="I329" s="9" t="s">
        <v>282</v>
      </c>
      <c r="J329" s="9" t="s">
        <v>283</v>
      </c>
      <c r="K329" s="9" t="s">
        <v>1696</v>
      </c>
      <c r="L329" s="9" t="s">
        <v>4146</v>
      </c>
      <c r="M329" s="9" t="s">
        <v>4147</v>
      </c>
      <c r="N329" s="8">
        <v>1</v>
      </c>
      <c r="O329" s="9" t="s">
        <v>4148</v>
      </c>
      <c r="P329" s="11">
        <v>100</v>
      </c>
      <c r="Q329" s="11">
        <v>110</v>
      </c>
      <c r="R329" s="11">
        <v>100</v>
      </c>
      <c r="S329" s="11">
        <v>1192</v>
      </c>
      <c r="T329" s="11">
        <v>119200</v>
      </c>
      <c r="U329" s="12">
        <v>0.05</v>
      </c>
      <c r="V329" s="12"/>
      <c r="W329" s="11"/>
      <c r="X329" s="9" t="s">
        <v>288</v>
      </c>
      <c r="Y329" s="10">
        <v>44039</v>
      </c>
      <c r="Z329" s="13">
        <v>0.10249999999999999</v>
      </c>
      <c r="AC329" s="9" t="s">
        <v>289</v>
      </c>
      <c r="AD329" s="9" t="s">
        <v>290</v>
      </c>
      <c r="AE329" s="8">
        <v>478.67362000000003</v>
      </c>
      <c r="AF329" s="14">
        <v>47.13317</v>
      </c>
      <c r="AG329" s="14">
        <v>-0.23104</v>
      </c>
      <c r="AH329" s="9" t="s">
        <v>3129</v>
      </c>
      <c r="AI329" s="15" t="s">
        <v>4149</v>
      </c>
      <c r="AJ329" s="9" t="s">
        <v>293</v>
      </c>
      <c r="AK329" s="9" t="s">
        <v>4150</v>
      </c>
      <c r="AL329" s="9" t="s">
        <v>4151</v>
      </c>
      <c r="AM329" s="9"/>
      <c r="AN329" s="9" t="s">
        <v>4152</v>
      </c>
      <c r="AO329" s="9"/>
      <c r="AP329" s="9" t="s">
        <v>3769</v>
      </c>
      <c r="AQ329" s="9" t="s">
        <v>3769</v>
      </c>
      <c r="AR329" t="b">
        <v>0</v>
      </c>
      <c r="AS329" s="10"/>
      <c r="AT329" s="10" t="s">
        <v>299</v>
      </c>
      <c r="AU329" s="9"/>
      <c r="AW329" s="12"/>
      <c r="AX329" s="11"/>
      <c r="AY329" s="9"/>
      <c r="AZ329" t="b">
        <v>0</v>
      </c>
      <c r="BA329" s="9"/>
      <c r="BB329" s="12"/>
      <c r="BC329" s="11"/>
      <c r="BD329" s="9" t="s">
        <v>300</v>
      </c>
      <c r="BE329" s="9" t="s">
        <v>86</v>
      </c>
      <c r="BF329" s="9" t="s">
        <v>402</v>
      </c>
      <c r="BG329" s="9" t="s">
        <v>529</v>
      </c>
      <c r="BH329" s="9" t="s">
        <v>304</v>
      </c>
      <c r="BI329" s="9" t="s">
        <v>3770</v>
      </c>
      <c r="BJ329" s="9" t="s">
        <v>3771</v>
      </c>
      <c r="BK329" s="11">
        <v>400</v>
      </c>
      <c r="BL329" s="16" t="s">
        <v>299</v>
      </c>
      <c r="BM329" s="10"/>
      <c r="BN329" s="10"/>
      <c r="BO329" s="10"/>
      <c r="BP329" s="16"/>
      <c r="BQ329" s="16"/>
      <c r="BR329" s="9"/>
      <c r="BS329" s="9"/>
      <c r="BT329" s="9"/>
      <c r="BU329" s="9"/>
      <c r="BV329" s="9"/>
      <c r="BW329" s="10"/>
      <c r="BX329" s="15" t="s">
        <v>4153</v>
      </c>
      <c r="BY329" s="10">
        <v>44651</v>
      </c>
      <c r="BZ329" s="10">
        <v>51956</v>
      </c>
      <c r="CA329" s="10">
        <v>45023</v>
      </c>
      <c r="CC329" s="9" t="s">
        <v>308</v>
      </c>
      <c r="CD329" s="9" t="s">
        <v>309</v>
      </c>
    </row>
    <row r="330" spans="1:82">
      <c r="A330" s="8">
        <v>11341</v>
      </c>
      <c r="B330" s="9" t="s">
        <v>4154</v>
      </c>
      <c r="C330" s="9" t="s">
        <v>3502</v>
      </c>
      <c r="D330" s="10">
        <v>44650</v>
      </c>
      <c r="E330" s="9" t="s">
        <v>4155</v>
      </c>
      <c r="F330" s="9" t="s">
        <v>4156</v>
      </c>
      <c r="G330" s="9" t="s">
        <v>4157</v>
      </c>
      <c r="H330" s="9" t="s">
        <v>281</v>
      </c>
      <c r="I330" s="9" t="s">
        <v>282</v>
      </c>
      <c r="J330" s="9" t="s">
        <v>283</v>
      </c>
      <c r="K330" s="9" t="s">
        <v>1696</v>
      </c>
      <c r="L330" s="9" t="s">
        <v>4158</v>
      </c>
      <c r="M330" s="9" t="s">
        <v>4159</v>
      </c>
      <c r="N330" s="8">
        <v>1</v>
      </c>
      <c r="O330" s="9" t="s">
        <v>4160</v>
      </c>
      <c r="P330" s="11">
        <v>99.9</v>
      </c>
      <c r="Q330" s="11">
        <v>110</v>
      </c>
      <c r="R330" s="11">
        <v>87</v>
      </c>
      <c r="S330" s="11">
        <v>1223.1600000000001</v>
      </c>
      <c r="T330" s="11">
        <v>122193.68399999999</v>
      </c>
      <c r="U330" s="12">
        <v>0.05</v>
      </c>
      <c r="V330" s="12"/>
      <c r="W330" s="11"/>
      <c r="X330" s="9" t="s">
        <v>288</v>
      </c>
      <c r="Y330" s="10">
        <v>44020</v>
      </c>
      <c r="Z330" s="13">
        <v>0.10249999999999999</v>
      </c>
      <c r="AC330" s="9" t="s">
        <v>289</v>
      </c>
      <c r="AD330" s="9" t="s">
        <v>290</v>
      </c>
      <c r="AE330" s="8">
        <v>504.45504</v>
      </c>
      <c r="AF330" s="14">
        <v>42.707560000000001</v>
      </c>
      <c r="AG330" s="14">
        <v>2.0878000000000001</v>
      </c>
      <c r="AH330" s="9" t="s">
        <v>3129</v>
      </c>
      <c r="AI330" s="15" t="s">
        <v>319</v>
      </c>
      <c r="AJ330" s="9" t="s">
        <v>293</v>
      </c>
      <c r="AK330" s="9" t="s">
        <v>4161</v>
      </c>
      <c r="AL330" s="9" t="s">
        <v>4162</v>
      </c>
      <c r="AM330" s="9"/>
      <c r="AN330" s="9" t="s">
        <v>4163</v>
      </c>
      <c r="AO330" s="9"/>
      <c r="AP330" s="9" t="s">
        <v>3133</v>
      </c>
      <c r="AQ330" s="9" t="s">
        <v>3512</v>
      </c>
      <c r="AR330" t="b">
        <v>0</v>
      </c>
      <c r="AS330" s="10"/>
      <c r="AT330" s="10" t="s">
        <v>299</v>
      </c>
      <c r="AU330" s="9"/>
      <c r="AW330" s="12"/>
      <c r="AX330" s="11"/>
      <c r="AY330" s="9"/>
      <c r="AZ330" t="b">
        <v>0</v>
      </c>
      <c r="BA330" s="9"/>
      <c r="BB330" s="12"/>
      <c r="BC330" s="11"/>
      <c r="BD330" s="9" t="s">
        <v>325</v>
      </c>
      <c r="BE330" s="9" t="s">
        <v>86</v>
      </c>
      <c r="BF330" s="9" t="s">
        <v>402</v>
      </c>
      <c r="BG330" s="9" t="s">
        <v>738</v>
      </c>
      <c r="BH330" s="9" t="s">
        <v>304</v>
      </c>
      <c r="BI330" s="9" t="s">
        <v>3513</v>
      </c>
      <c r="BJ330" s="9" t="s">
        <v>3514</v>
      </c>
      <c r="BK330" s="11">
        <v>400</v>
      </c>
      <c r="BL330" s="16" t="s">
        <v>299</v>
      </c>
      <c r="BM330" s="10"/>
      <c r="BN330" s="10"/>
      <c r="BO330" s="10"/>
      <c r="BP330" s="16"/>
      <c r="BQ330" s="16"/>
      <c r="BR330" s="9"/>
      <c r="BS330" s="9"/>
      <c r="BT330" s="9"/>
      <c r="BU330" s="9"/>
      <c r="BV330" s="9"/>
      <c r="BW330" s="10"/>
      <c r="BX330" s="15" t="s">
        <v>1438</v>
      </c>
      <c r="BY330" s="10">
        <v>44650</v>
      </c>
      <c r="BZ330" s="10">
        <v>51738</v>
      </c>
      <c r="CA330" s="10">
        <v>44985</v>
      </c>
      <c r="CC330" s="9" t="s">
        <v>308</v>
      </c>
      <c r="CD330" s="9" t="s">
        <v>309</v>
      </c>
    </row>
    <row r="331" spans="1:82">
      <c r="A331" s="8">
        <v>17612</v>
      </c>
      <c r="B331" s="9" t="s">
        <v>1917</v>
      </c>
      <c r="C331" s="9" t="s">
        <v>3487</v>
      </c>
      <c r="D331" s="10">
        <v>44641</v>
      </c>
      <c r="E331" s="9" t="s">
        <v>4164</v>
      </c>
      <c r="F331" s="9" t="s">
        <v>4165</v>
      </c>
      <c r="G331" s="9" t="s">
        <v>1920</v>
      </c>
      <c r="H331" s="9" t="s">
        <v>281</v>
      </c>
      <c r="I331" s="9" t="s">
        <v>282</v>
      </c>
      <c r="J331" s="9" t="s">
        <v>283</v>
      </c>
      <c r="K331" s="9" t="s">
        <v>1696</v>
      </c>
      <c r="L331" s="9" t="s">
        <v>4166</v>
      </c>
      <c r="M331" s="9" t="s">
        <v>4167</v>
      </c>
      <c r="N331" s="8">
        <v>1</v>
      </c>
      <c r="O331" s="9" t="s">
        <v>4168</v>
      </c>
      <c r="P331" s="11">
        <v>99.9</v>
      </c>
      <c r="Q331" s="11">
        <v>110</v>
      </c>
      <c r="R331" s="11">
        <v>90</v>
      </c>
      <c r="S331" s="11">
        <v>1296.32</v>
      </c>
      <c r="T331" s="11">
        <v>129502.368</v>
      </c>
      <c r="U331" s="12">
        <v>0.05</v>
      </c>
      <c r="V331" s="12"/>
      <c r="W331" s="11"/>
      <c r="X331" s="9" t="s">
        <v>288</v>
      </c>
      <c r="Y331" s="10">
        <v>44082</v>
      </c>
      <c r="Z331" s="13">
        <v>0.10249999999999999</v>
      </c>
      <c r="AC331" s="9" t="s">
        <v>289</v>
      </c>
      <c r="AD331" s="9" t="s">
        <v>290</v>
      </c>
      <c r="AE331" s="8">
        <v>491.85629999999998</v>
      </c>
      <c r="AF331" s="14">
        <v>45.590110000000003</v>
      </c>
      <c r="AG331" s="14">
        <v>2.4016000000000002</v>
      </c>
      <c r="AH331" s="9" t="s">
        <v>3129</v>
      </c>
      <c r="AI331" s="15" t="s">
        <v>319</v>
      </c>
      <c r="AJ331" s="9" t="s">
        <v>293</v>
      </c>
      <c r="AK331" s="9" t="s">
        <v>1924</v>
      </c>
      <c r="AL331" s="9" t="s">
        <v>1925</v>
      </c>
      <c r="AM331" s="9"/>
      <c r="AN331" s="9" t="s">
        <v>1926</v>
      </c>
      <c r="AO331" s="9"/>
      <c r="AP331" s="9" t="s">
        <v>597</v>
      </c>
      <c r="AQ331" s="9" t="s">
        <v>3134</v>
      </c>
      <c r="AR331" t="b">
        <v>0</v>
      </c>
      <c r="AS331" s="10"/>
      <c r="AT331" s="10" t="s">
        <v>299</v>
      </c>
      <c r="AU331" s="9"/>
      <c r="AW331" s="12"/>
      <c r="AX331" s="11"/>
      <c r="AY331" s="9"/>
      <c r="AZ331" t="b">
        <v>0</v>
      </c>
      <c r="BA331" s="9"/>
      <c r="BB331" s="12"/>
      <c r="BC331" s="11"/>
      <c r="BD331" s="9" t="s">
        <v>325</v>
      </c>
      <c r="BE331" s="9" t="s">
        <v>301</v>
      </c>
      <c r="BF331" s="9" t="s">
        <v>402</v>
      </c>
      <c r="BG331" s="9" t="s">
        <v>749</v>
      </c>
      <c r="BH331" s="9" t="s">
        <v>304</v>
      </c>
      <c r="BI331" s="9" t="s">
        <v>3499</v>
      </c>
      <c r="BJ331" s="9" t="s">
        <v>3500</v>
      </c>
      <c r="BK331" s="11">
        <v>400</v>
      </c>
      <c r="BL331" s="16" t="s">
        <v>299</v>
      </c>
      <c r="BM331" s="10"/>
      <c r="BN331" s="10"/>
      <c r="BO331" s="10"/>
      <c r="BP331" s="16"/>
      <c r="BQ331" s="16"/>
      <c r="BR331" s="9" t="s">
        <v>4169</v>
      </c>
      <c r="BS331" s="9" t="s">
        <v>4170</v>
      </c>
      <c r="BT331" s="9" t="s">
        <v>1920</v>
      </c>
      <c r="BU331" s="9" t="s">
        <v>4165</v>
      </c>
      <c r="BV331" s="9" t="s">
        <v>4171</v>
      </c>
      <c r="BW331" s="10"/>
      <c r="BX331" s="15" t="s">
        <v>458</v>
      </c>
      <c r="BY331" s="10">
        <v>44641</v>
      </c>
      <c r="BZ331" s="10">
        <v>51945</v>
      </c>
      <c r="CA331" s="10">
        <v>44813</v>
      </c>
      <c r="CC331" s="9" t="s">
        <v>308</v>
      </c>
      <c r="CD331" s="9" t="s">
        <v>309</v>
      </c>
    </row>
    <row r="332" spans="1:82">
      <c r="A332" s="8">
        <v>12228</v>
      </c>
      <c r="B332" s="9" t="s">
        <v>4172</v>
      </c>
      <c r="C332" s="9" t="s">
        <v>3502</v>
      </c>
      <c r="D332" s="10">
        <v>44637</v>
      </c>
      <c r="E332" s="9" t="s">
        <v>4173</v>
      </c>
      <c r="F332" s="9" t="s">
        <v>1649</v>
      </c>
      <c r="G332" s="9" t="s">
        <v>4174</v>
      </c>
      <c r="H332" s="9" t="s">
        <v>281</v>
      </c>
      <c r="I332" s="9" t="s">
        <v>282</v>
      </c>
      <c r="J332" s="9" t="s">
        <v>283</v>
      </c>
      <c r="K332" s="9" t="s">
        <v>1696</v>
      </c>
      <c r="L332" s="9" t="s">
        <v>4175</v>
      </c>
      <c r="M332" s="9" t="s">
        <v>4176</v>
      </c>
      <c r="N332" s="8">
        <v>1</v>
      </c>
      <c r="O332" s="9" t="s">
        <v>4177</v>
      </c>
      <c r="P332" s="11">
        <v>99.9</v>
      </c>
      <c r="Q332" s="11">
        <v>110</v>
      </c>
      <c r="R332" s="11">
        <v>89</v>
      </c>
      <c r="S332" s="11">
        <v>1389.81</v>
      </c>
      <c r="T332" s="11">
        <v>138842.019</v>
      </c>
      <c r="U332" s="12">
        <v>0.05</v>
      </c>
      <c r="V332" s="12"/>
      <c r="W332" s="11"/>
      <c r="X332" s="9" t="s">
        <v>288</v>
      </c>
      <c r="Y332" s="10">
        <v>44012</v>
      </c>
      <c r="Z332" s="13">
        <v>0.1051</v>
      </c>
      <c r="AC332" s="9" t="s">
        <v>289</v>
      </c>
      <c r="AD332" s="9" t="s">
        <v>290</v>
      </c>
      <c r="AE332" s="8">
        <v>491.85629999999998</v>
      </c>
      <c r="AF332" s="14">
        <v>44.811970000000002</v>
      </c>
      <c r="AG332" s="14">
        <v>3.1749499999999999</v>
      </c>
      <c r="AH332" s="9" t="s">
        <v>3129</v>
      </c>
      <c r="AI332" s="15" t="s">
        <v>319</v>
      </c>
      <c r="AJ332" s="9" t="s">
        <v>293</v>
      </c>
      <c r="AK332" s="9" t="s">
        <v>4178</v>
      </c>
      <c r="AL332" s="9" t="s">
        <v>4179</v>
      </c>
      <c r="AM332" s="9"/>
      <c r="AN332" s="9" t="s">
        <v>4180</v>
      </c>
      <c r="AO332" s="9"/>
      <c r="AP332" s="9" t="s">
        <v>3133</v>
      </c>
      <c r="AQ332" s="9" t="s">
        <v>3134</v>
      </c>
      <c r="AR332" t="b">
        <v>0</v>
      </c>
      <c r="AS332" s="10"/>
      <c r="AT332" s="10" t="s">
        <v>299</v>
      </c>
      <c r="AU332" s="9"/>
      <c r="AW332" s="12"/>
      <c r="AX332" s="11"/>
      <c r="AY332" s="9"/>
      <c r="AZ332" t="b">
        <v>0</v>
      </c>
      <c r="BA332" s="9"/>
      <c r="BB332" s="12"/>
      <c r="BC332" s="11"/>
      <c r="BD332" s="9" t="s">
        <v>325</v>
      </c>
      <c r="BE332" s="9" t="s">
        <v>86</v>
      </c>
      <c r="BF332" s="9" t="s">
        <v>690</v>
      </c>
      <c r="BG332" s="9" t="s">
        <v>738</v>
      </c>
      <c r="BH332" s="9" t="s">
        <v>304</v>
      </c>
      <c r="BI332" s="9" t="s">
        <v>3513</v>
      </c>
      <c r="BJ332" s="9" t="s">
        <v>3514</v>
      </c>
      <c r="BK332" s="11">
        <v>400</v>
      </c>
      <c r="BL332" s="16" t="s">
        <v>299</v>
      </c>
      <c r="BM332" s="10"/>
      <c r="BN332" s="10"/>
      <c r="BO332" s="10"/>
      <c r="BP332" s="16"/>
      <c r="BQ332" s="16"/>
      <c r="BR332" s="9"/>
      <c r="BS332" s="9"/>
      <c r="BT332" s="9"/>
      <c r="BU332" s="9"/>
      <c r="BV332" s="9"/>
      <c r="BW332" s="10"/>
      <c r="BX332" s="15" t="s">
        <v>3901</v>
      </c>
      <c r="BY332" s="10">
        <v>44637</v>
      </c>
      <c r="BZ332" s="10">
        <v>51821</v>
      </c>
      <c r="CA332" s="10">
        <v>45083</v>
      </c>
      <c r="CC332" s="9" t="s">
        <v>308</v>
      </c>
      <c r="CD332" s="9" t="s">
        <v>309</v>
      </c>
    </row>
    <row r="333" spans="1:82" ht="43.5">
      <c r="A333" s="8">
        <v>84035</v>
      </c>
      <c r="B333" s="9" t="s">
        <v>4181</v>
      </c>
      <c r="C333" s="9" t="s">
        <v>3759</v>
      </c>
      <c r="D333" s="10">
        <v>44615</v>
      </c>
      <c r="E333" s="9" t="s">
        <v>4182</v>
      </c>
      <c r="F333" s="9" t="s">
        <v>589</v>
      </c>
      <c r="G333" s="9" t="s">
        <v>4183</v>
      </c>
      <c r="H333" s="9" t="s">
        <v>281</v>
      </c>
      <c r="I333" s="9" t="s">
        <v>282</v>
      </c>
      <c r="J333" s="9" t="s">
        <v>283</v>
      </c>
      <c r="K333" s="9" t="s">
        <v>1696</v>
      </c>
      <c r="L333" s="9" t="s">
        <v>4184</v>
      </c>
      <c r="M333" s="9" t="s">
        <v>4185</v>
      </c>
      <c r="N333" s="8">
        <v>1</v>
      </c>
      <c r="O333" s="9" t="s">
        <v>4186</v>
      </c>
      <c r="P333" s="11">
        <v>100</v>
      </c>
      <c r="Q333" s="11">
        <v>110</v>
      </c>
      <c r="R333" s="11">
        <v>99.99</v>
      </c>
      <c r="S333" s="11">
        <v>1246.19</v>
      </c>
      <c r="T333" s="11">
        <v>124619</v>
      </c>
      <c r="U333" s="12">
        <v>0.05</v>
      </c>
      <c r="V333" s="12"/>
      <c r="W333" s="11"/>
      <c r="X333" s="9" t="s">
        <v>288</v>
      </c>
      <c r="Y333" s="10">
        <v>44012</v>
      </c>
      <c r="Z333" s="13">
        <v>0.1051</v>
      </c>
      <c r="AC333" s="9" t="s">
        <v>289</v>
      </c>
      <c r="AD333" s="9" t="s">
        <v>290</v>
      </c>
      <c r="AE333" s="8">
        <v>486.36315000000002</v>
      </c>
      <c r="AF333" s="14">
        <v>47.613590000000002</v>
      </c>
      <c r="AG333" s="14">
        <v>-1.1231899999999999</v>
      </c>
      <c r="AH333" s="9" t="s">
        <v>3129</v>
      </c>
      <c r="AI333" s="15" t="s">
        <v>4187</v>
      </c>
      <c r="AJ333" s="9" t="s">
        <v>293</v>
      </c>
      <c r="AK333" s="9" t="s">
        <v>4188</v>
      </c>
      <c r="AL333" s="9" t="s">
        <v>4189</v>
      </c>
      <c r="AM333" s="9"/>
      <c r="AN333" s="9" t="s">
        <v>4190</v>
      </c>
      <c r="AO333" s="9"/>
      <c r="AP333" s="9" t="s">
        <v>3769</v>
      </c>
      <c r="AQ333" s="9" t="s">
        <v>3769</v>
      </c>
      <c r="AR333" t="b">
        <v>0</v>
      </c>
      <c r="AS333" s="10"/>
      <c r="AT333" s="10" t="s">
        <v>299</v>
      </c>
      <c r="AU333" s="9"/>
      <c r="AW333" s="12"/>
      <c r="AX333" s="11"/>
      <c r="AY333" s="9"/>
      <c r="AZ333" t="b">
        <v>0</v>
      </c>
      <c r="BA333" s="9"/>
      <c r="BB333" s="12"/>
      <c r="BC333" s="11"/>
      <c r="BD333" s="9" t="s">
        <v>300</v>
      </c>
      <c r="BE333" s="9" t="s">
        <v>86</v>
      </c>
      <c r="BF333" s="9" t="s">
        <v>402</v>
      </c>
      <c r="BG333" s="9" t="s">
        <v>529</v>
      </c>
      <c r="BH333" s="9" t="s">
        <v>304</v>
      </c>
      <c r="BI333" s="9" t="s">
        <v>3770</v>
      </c>
      <c r="BJ333" s="9" t="s">
        <v>3771</v>
      </c>
      <c r="BK333" s="11">
        <v>400</v>
      </c>
      <c r="BL333" s="16" t="s">
        <v>299</v>
      </c>
      <c r="BM333" s="10"/>
      <c r="BN333" s="10"/>
      <c r="BO333" s="10"/>
      <c r="BP333" s="16"/>
      <c r="BQ333" s="16"/>
      <c r="BR333" s="9"/>
      <c r="BS333" s="9"/>
      <c r="BT333" s="9"/>
      <c r="BU333" s="9"/>
      <c r="BV333" s="9"/>
      <c r="BW333" s="10"/>
      <c r="BX333" s="15" t="s">
        <v>458</v>
      </c>
      <c r="BY333" s="10">
        <v>44615</v>
      </c>
      <c r="BZ333" s="10">
        <v>51919</v>
      </c>
      <c r="CA333" s="10">
        <v>45496</v>
      </c>
      <c r="CC333" s="9" t="s">
        <v>308</v>
      </c>
      <c r="CD333" s="9" t="s">
        <v>309</v>
      </c>
    </row>
    <row r="334" spans="1:82">
      <c r="A334" s="8">
        <v>15363</v>
      </c>
      <c r="B334" s="9" t="s">
        <v>4191</v>
      </c>
      <c r="C334" s="9" t="s">
        <v>3487</v>
      </c>
      <c r="D334" s="10">
        <v>44609</v>
      </c>
      <c r="E334" s="9" t="s">
        <v>4192</v>
      </c>
      <c r="F334" s="9" t="s">
        <v>4193</v>
      </c>
      <c r="G334" s="9" t="s">
        <v>4194</v>
      </c>
      <c r="H334" s="9" t="s">
        <v>281</v>
      </c>
      <c r="I334" s="9" t="s">
        <v>282</v>
      </c>
      <c r="J334" s="9" t="s">
        <v>283</v>
      </c>
      <c r="K334" s="9" t="s">
        <v>1696</v>
      </c>
      <c r="L334" s="9" t="s">
        <v>4195</v>
      </c>
      <c r="M334" s="9" t="s">
        <v>4196</v>
      </c>
      <c r="N334" s="8">
        <v>1</v>
      </c>
      <c r="O334" s="9" t="s">
        <v>4197</v>
      </c>
      <c r="P334" s="11">
        <v>99.9</v>
      </c>
      <c r="Q334" s="11">
        <v>110</v>
      </c>
      <c r="R334" s="11">
        <v>90</v>
      </c>
      <c r="S334" s="11">
        <v>1401.9</v>
      </c>
      <c r="T334" s="11">
        <v>140049.81</v>
      </c>
      <c r="U334" s="12">
        <v>1.9E-2</v>
      </c>
      <c r="V334" s="12"/>
      <c r="W334" s="11"/>
      <c r="X334" s="9" t="s">
        <v>288</v>
      </c>
      <c r="Y334" s="10">
        <v>44158</v>
      </c>
      <c r="Z334" s="13">
        <v>9.8699999999999996E-2</v>
      </c>
      <c r="AC334" s="9" t="s">
        <v>289</v>
      </c>
      <c r="AD334" s="9" t="s">
        <v>290</v>
      </c>
      <c r="AE334" s="8">
        <v>491.85599999999999</v>
      </c>
      <c r="AF334" s="14">
        <v>44.593559999999997</v>
      </c>
      <c r="AG334" s="14">
        <v>4.3852399999999996</v>
      </c>
      <c r="AH334" s="9" t="s">
        <v>3129</v>
      </c>
      <c r="AI334" s="15" t="s">
        <v>319</v>
      </c>
      <c r="AJ334" s="9" t="s">
        <v>293</v>
      </c>
      <c r="AK334" s="9" t="s">
        <v>4198</v>
      </c>
      <c r="AL334" s="9" t="s">
        <v>4199</v>
      </c>
      <c r="AM334" s="9"/>
      <c r="AN334" s="9" t="s">
        <v>4200</v>
      </c>
      <c r="AO334" s="9"/>
      <c r="AP334" s="9" t="s">
        <v>2946</v>
      </c>
      <c r="AQ334" s="9" t="s">
        <v>3134</v>
      </c>
      <c r="AR334" t="b">
        <v>0</v>
      </c>
      <c r="AS334" s="10"/>
      <c r="AT334" s="10" t="s">
        <v>299</v>
      </c>
      <c r="AU334" s="9"/>
      <c r="AW334" s="12"/>
      <c r="AX334" s="11"/>
      <c r="AY334" s="9"/>
      <c r="AZ334" t="b">
        <v>0</v>
      </c>
      <c r="BA334" s="9"/>
      <c r="BB334" s="12"/>
      <c r="BC334" s="11"/>
      <c r="BD334" s="9" t="s">
        <v>300</v>
      </c>
      <c r="BE334" s="9" t="s">
        <v>301</v>
      </c>
      <c r="BF334" s="9" t="s">
        <v>690</v>
      </c>
      <c r="BG334" s="9" t="s">
        <v>967</v>
      </c>
      <c r="BH334" s="9" t="s">
        <v>304</v>
      </c>
      <c r="BI334" s="9" t="s">
        <v>3499</v>
      </c>
      <c r="BJ334" s="9" t="s">
        <v>3500</v>
      </c>
      <c r="BK334" s="11">
        <v>400</v>
      </c>
      <c r="BL334" s="16" t="s">
        <v>299</v>
      </c>
      <c r="BM334" s="10"/>
      <c r="BN334" s="10">
        <v>45204.916666666664</v>
      </c>
      <c r="BO334" s="10"/>
      <c r="BP334" s="16"/>
      <c r="BQ334" s="16"/>
      <c r="BR334" s="9"/>
      <c r="BS334" s="9"/>
      <c r="BT334" s="9"/>
      <c r="BU334" s="9"/>
      <c r="BV334" s="9"/>
      <c r="BW334" s="10"/>
      <c r="BX334" s="15" t="s">
        <v>1438</v>
      </c>
      <c r="BY334" s="10">
        <v>44609</v>
      </c>
      <c r="BZ334" s="10">
        <v>51913</v>
      </c>
      <c r="CA334" s="10">
        <v>44754</v>
      </c>
      <c r="CC334" s="9" t="s">
        <v>308</v>
      </c>
      <c r="CD334" s="9" t="s">
        <v>309</v>
      </c>
    </row>
    <row r="335" spans="1:82">
      <c r="A335" s="8">
        <v>79227</v>
      </c>
      <c r="B335" s="9" t="s">
        <v>4201</v>
      </c>
      <c r="C335" s="9" t="s">
        <v>3609</v>
      </c>
      <c r="D335" s="10">
        <v>44588</v>
      </c>
      <c r="E335" s="9" t="s">
        <v>4202</v>
      </c>
      <c r="F335" s="9" t="s">
        <v>3544</v>
      </c>
      <c r="G335" s="9" t="s">
        <v>4203</v>
      </c>
      <c r="H335" s="9" t="s">
        <v>315</v>
      </c>
      <c r="I335" s="9" t="s">
        <v>282</v>
      </c>
      <c r="J335" s="9" t="s">
        <v>283</v>
      </c>
      <c r="K335" s="9" t="s">
        <v>1696</v>
      </c>
      <c r="L335" s="9" t="s">
        <v>4204</v>
      </c>
      <c r="M335" s="9" t="s">
        <v>4205</v>
      </c>
      <c r="N335" s="8">
        <v>1</v>
      </c>
      <c r="O335" s="9" t="s">
        <v>4206</v>
      </c>
      <c r="P335" s="11">
        <v>100</v>
      </c>
      <c r="Q335" s="11">
        <v>110</v>
      </c>
      <c r="R335" s="11">
        <v>85</v>
      </c>
      <c r="S335" s="11">
        <v>1197.94</v>
      </c>
      <c r="T335" s="11">
        <v>119794</v>
      </c>
      <c r="U335" s="12">
        <v>0.05</v>
      </c>
      <c r="V335" s="12"/>
      <c r="W335" s="11"/>
      <c r="X335" s="9" t="s">
        <v>288</v>
      </c>
      <c r="Y335" s="10">
        <v>44013</v>
      </c>
      <c r="Z335" s="13">
        <v>0.10249999999999999</v>
      </c>
      <c r="AC335" s="9" t="s">
        <v>289</v>
      </c>
      <c r="AD335" s="9" t="s">
        <v>290</v>
      </c>
      <c r="AE335" s="8">
        <v>491.37657999999999</v>
      </c>
      <c r="AF335" s="14">
        <v>45.373620000000003</v>
      </c>
      <c r="AG335" s="14">
        <v>0.13042999999999999</v>
      </c>
      <c r="AH335" s="9" t="s">
        <v>3129</v>
      </c>
      <c r="AI335" s="15" t="s">
        <v>319</v>
      </c>
      <c r="AJ335" s="9" t="s">
        <v>293</v>
      </c>
      <c r="AK335" s="9" t="s">
        <v>4207</v>
      </c>
      <c r="AL335" s="9" t="s">
        <v>4208</v>
      </c>
      <c r="AM335" s="9"/>
      <c r="AN335" s="9" t="s">
        <v>4209</v>
      </c>
      <c r="AO335" s="9"/>
      <c r="AP335" s="9" t="s">
        <v>3619</v>
      </c>
      <c r="AQ335" s="9" t="s">
        <v>3178</v>
      </c>
      <c r="AR335" t="b">
        <v>0</v>
      </c>
      <c r="AS335" s="10">
        <v>44953</v>
      </c>
      <c r="AT335" s="10">
        <v>45684</v>
      </c>
      <c r="AU335" s="9" t="s">
        <v>612</v>
      </c>
      <c r="AW335" s="12"/>
      <c r="AX335" s="11">
        <v>19000</v>
      </c>
      <c r="AY335" s="9"/>
      <c r="AZ335" t="b">
        <v>0</v>
      </c>
      <c r="BA335" s="9"/>
      <c r="BB335" s="12"/>
      <c r="BC335" s="11"/>
      <c r="BD335" s="9" t="s">
        <v>325</v>
      </c>
      <c r="BE335" s="9" t="s">
        <v>86</v>
      </c>
      <c r="BF335" s="9" t="s">
        <v>402</v>
      </c>
      <c r="BG335" s="9" t="s">
        <v>749</v>
      </c>
      <c r="BH335" s="9" t="s">
        <v>304</v>
      </c>
      <c r="BI335" s="9" t="s">
        <v>3620</v>
      </c>
      <c r="BJ335" s="9" t="s">
        <v>3621</v>
      </c>
      <c r="BK335" s="11">
        <v>400</v>
      </c>
      <c r="BL335" s="16" t="s">
        <v>299</v>
      </c>
      <c r="BM335" s="10"/>
      <c r="BN335" s="10"/>
      <c r="BO335" s="10"/>
      <c r="BP335" s="16"/>
      <c r="BQ335" s="16"/>
      <c r="BR335" s="9" t="s">
        <v>4210</v>
      </c>
      <c r="BS335" s="9" t="s">
        <v>4211</v>
      </c>
      <c r="BT335" s="9" t="s">
        <v>4212</v>
      </c>
      <c r="BU335" s="9" t="s">
        <v>3544</v>
      </c>
      <c r="BV335" s="9"/>
      <c r="BW335" s="10"/>
      <c r="BX335" s="15" t="s">
        <v>1595</v>
      </c>
      <c r="BY335" s="10">
        <v>44588</v>
      </c>
      <c r="BZ335" s="10">
        <v>51859</v>
      </c>
      <c r="CA335" s="10">
        <v>45008</v>
      </c>
      <c r="CC335" s="9" t="s">
        <v>308</v>
      </c>
      <c r="CD335" s="9" t="s">
        <v>309</v>
      </c>
    </row>
    <row r="336" spans="1:82">
      <c r="A336" s="8">
        <v>11369</v>
      </c>
      <c r="B336" s="9" t="s">
        <v>446</v>
      </c>
      <c r="C336" s="9" t="s">
        <v>3502</v>
      </c>
      <c r="D336" s="10">
        <v>44579</v>
      </c>
      <c r="E336" s="9" t="s">
        <v>4213</v>
      </c>
      <c r="F336" s="9" t="s">
        <v>4214</v>
      </c>
      <c r="G336" s="9" t="s">
        <v>4215</v>
      </c>
      <c r="H336" s="9" t="s">
        <v>281</v>
      </c>
      <c r="I336" s="9" t="s">
        <v>282</v>
      </c>
      <c r="J336" s="9" t="s">
        <v>283</v>
      </c>
      <c r="K336" s="9" t="s">
        <v>1696</v>
      </c>
      <c r="L336" s="9" t="s">
        <v>4216</v>
      </c>
      <c r="M336" s="9" t="s">
        <v>4217</v>
      </c>
      <c r="N336" s="8">
        <v>1</v>
      </c>
      <c r="O336" s="9" t="s">
        <v>4218</v>
      </c>
      <c r="P336" s="11">
        <v>99.9</v>
      </c>
      <c r="Q336" s="11">
        <v>88</v>
      </c>
      <c r="R336" s="11">
        <v>87</v>
      </c>
      <c r="S336" s="11">
        <v>1165.3699999999999</v>
      </c>
      <c r="T336" s="11">
        <v>116420.463</v>
      </c>
      <c r="U336" s="12">
        <v>5.6000000000000001E-2</v>
      </c>
      <c r="V336" s="12"/>
      <c r="W336" s="11"/>
      <c r="X336" s="9" t="s">
        <v>288</v>
      </c>
      <c r="Y336" s="10">
        <v>44012</v>
      </c>
      <c r="Z336" s="13">
        <v>0.1051</v>
      </c>
      <c r="AC336" s="9" t="s">
        <v>289</v>
      </c>
      <c r="AD336" s="9" t="s">
        <v>290</v>
      </c>
      <c r="AE336" s="8">
        <v>491.85629999999998</v>
      </c>
      <c r="AF336" s="14">
        <v>45.0259</v>
      </c>
      <c r="AG336" s="14">
        <v>3.4537800000000001</v>
      </c>
      <c r="AH336" s="9" t="s">
        <v>3129</v>
      </c>
      <c r="AI336" s="15" t="s">
        <v>319</v>
      </c>
      <c r="AJ336" s="9" t="s">
        <v>293</v>
      </c>
      <c r="AK336" s="9" t="s">
        <v>453</v>
      </c>
      <c r="AL336" s="9" t="s">
        <v>454</v>
      </c>
      <c r="AM336" s="9"/>
      <c r="AN336" s="9" t="s">
        <v>3848</v>
      </c>
      <c r="AO336" s="9"/>
      <c r="AP336" s="9" t="s">
        <v>2946</v>
      </c>
      <c r="AQ336" s="9" t="s">
        <v>3134</v>
      </c>
      <c r="AR336" t="b">
        <v>0</v>
      </c>
      <c r="AS336" s="10"/>
      <c r="AT336" s="10" t="s">
        <v>299</v>
      </c>
      <c r="AU336" s="9"/>
      <c r="AW336" s="12"/>
      <c r="AX336" s="11"/>
      <c r="AY336" s="9"/>
      <c r="AZ336" t="b">
        <v>0</v>
      </c>
      <c r="BA336" s="9"/>
      <c r="BB336" s="12"/>
      <c r="BC336" s="11"/>
      <c r="BD336" s="9" t="s">
        <v>325</v>
      </c>
      <c r="BE336" s="9" t="s">
        <v>86</v>
      </c>
      <c r="BF336" s="9" t="s">
        <v>980</v>
      </c>
      <c r="BG336" s="9" t="s">
        <v>738</v>
      </c>
      <c r="BH336" s="9" t="s">
        <v>304</v>
      </c>
      <c r="BI336" s="9" t="s">
        <v>3513</v>
      </c>
      <c r="BJ336" s="9" t="s">
        <v>3514</v>
      </c>
      <c r="BK336" s="11">
        <v>400</v>
      </c>
      <c r="BL336" s="16" t="s">
        <v>299</v>
      </c>
      <c r="BM336" s="10"/>
      <c r="BN336" s="10"/>
      <c r="BO336" s="10"/>
      <c r="BP336" s="16"/>
      <c r="BQ336" s="16"/>
      <c r="BR336" s="9"/>
      <c r="BS336" s="9"/>
      <c r="BT336" s="9"/>
      <c r="BU336" s="9"/>
      <c r="BV336" s="9"/>
      <c r="BW336" s="10"/>
      <c r="BX336" s="15" t="s">
        <v>4009</v>
      </c>
      <c r="BY336" s="10">
        <v>44579</v>
      </c>
      <c r="BZ336" s="10">
        <v>51883</v>
      </c>
      <c r="CA336" s="10">
        <v>45274</v>
      </c>
      <c r="CC336" s="9" t="s">
        <v>308</v>
      </c>
      <c r="CD336" s="9" t="s">
        <v>309</v>
      </c>
    </row>
    <row r="337" spans="1:82">
      <c r="A337" s="8">
        <v>11342</v>
      </c>
      <c r="B337" s="9" t="s">
        <v>4219</v>
      </c>
      <c r="C337" s="9" t="s">
        <v>3502</v>
      </c>
      <c r="D337" s="10">
        <v>44575</v>
      </c>
      <c r="E337" s="9" t="s">
        <v>4220</v>
      </c>
      <c r="F337" s="9" t="s">
        <v>4221</v>
      </c>
      <c r="G337" s="9" t="s">
        <v>4222</v>
      </c>
      <c r="H337" s="9" t="s">
        <v>281</v>
      </c>
      <c r="I337" s="9" t="s">
        <v>282</v>
      </c>
      <c r="J337" s="9" t="s">
        <v>283</v>
      </c>
      <c r="K337" s="9" t="s">
        <v>1696</v>
      </c>
      <c r="L337" s="9" t="s">
        <v>4223</v>
      </c>
      <c r="M337" s="9" t="s">
        <v>4224</v>
      </c>
      <c r="N337" s="8">
        <v>1</v>
      </c>
      <c r="O337" s="9" t="s">
        <v>4225</v>
      </c>
      <c r="P337" s="11">
        <v>99.9</v>
      </c>
      <c r="Q337" s="11">
        <v>88</v>
      </c>
      <c r="R337" s="11">
        <v>87</v>
      </c>
      <c r="S337" s="11">
        <v>1266.17</v>
      </c>
      <c r="T337" s="11">
        <v>126490.383</v>
      </c>
      <c r="U337" s="12">
        <v>5.0999999999999997E-2</v>
      </c>
      <c r="V337" s="12"/>
      <c r="W337" s="11"/>
      <c r="X337" s="9" t="s">
        <v>288</v>
      </c>
      <c r="Y337" s="10">
        <v>43951</v>
      </c>
      <c r="Z337" s="13">
        <v>0.1051</v>
      </c>
      <c r="AC337" s="9" t="s">
        <v>289</v>
      </c>
      <c r="AD337" s="9" t="s">
        <v>290</v>
      </c>
      <c r="AE337" s="8">
        <v>491.85629999999998</v>
      </c>
      <c r="AF337" s="14">
        <v>43.915550000000003</v>
      </c>
      <c r="AG337" s="14">
        <v>1.5386899999999999</v>
      </c>
      <c r="AH337" s="9" t="s">
        <v>3129</v>
      </c>
      <c r="AI337" s="15" t="s">
        <v>319</v>
      </c>
      <c r="AJ337" s="9" t="s">
        <v>293</v>
      </c>
      <c r="AK337" s="9" t="s">
        <v>4226</v>
      </c>
      <c r="AL337" s="9" t="s">
        <v>4227</v>
      </c>
      <c r="AM337" s="9" t="s">
        <v>4228</v>
      </c>
      <c r="AN337" s="9" t="s">
        <v>4229</v>
      </c>
      <c r="AO337" s="9"/>
      <c r="AP337" s="9" t="s">
        <v>3133</v>
      </c>
      <c r="AQ337" s="9" t="s">
        <v>3134</v>
      </c>
      <c r="AR337" t="b">
        <v>0</v>
      </c>
      <c r="AS337" s="10"/>
      <c r="AT337" s="10" t="s">
        <v>299</v>
      </c>
      <c r="AU337" s="9"/>
      <c r="AW337" s="12"/>
      <c r="AX337" s="11"/>
      <c r="AY337" s="9"/>
      <c r="AZ337" t="b">
        <v>0</v>
      </c>
      <c r="BA337" s="9"/>
      <c r="BB337" s="12"/>
      <c r="BC337" s="11"/>
      <c r="BD337" s="9" t="s">
        <v>325</v>
      </c>
      <c r="BE337" s="9" t="s">
        <v>86</v>
      </c>
      <c r="BF337" s="9" t="s">
        <v>690</v>
      </c>
      <c r="BG337" s="9" t="s">
        <v>738</v>
      </c>
      <c r="BH337" s="9" t="s">
        <v>304</v>
      </c>
      <c r="BI337" s="9" t="s">
        <v>3513</v>
      </c>
      <c r="BJ337" s="9" t="s">
        <v>3514</v>
      </c>
      <c r="BK337" s="11">
        <v>400</v>
      </c>
      <c r="BL337" s="16" t="s">
        <v>299</v>
      </c>
      <c r="BM337" s="10"/>
      <c r="BN337" s="10">
        <v>45204.916666666664</v>
      </c>
      <c r="BO337" s="10"/>
      <c r="BP337" s="16"/>
      <c r="BQ337" s="16"/>
      <c r="BR337" s="9"/>
      <c r="BS337" s="9"/>
      <c r="BT337" s="9"/>
      <c r="BU337" s="9"/>
      <c r="BV337" s="9"/>
      <c r="BW337" s="10"/>
      <c r="BX337" s="15" t="s">
        <v>1438</v>
      </c>
      <c r="BY337" s="10">
        <v>44575</v>
      </c>
      <c r="BZ337" s="10">
        <v>51879</v>
      </c>
      <c r="CA337" s="10">
        <v>44770</v>
      </c>
      <c r="CC337" s="9" t="s">
        <v>308</v>
      </c>
      <c r="CD337" s="9" t="s">
        <v>309</v>
      </c>
    </row>
    <row r="338" spans="1:82">
      <c r="A338" s="8">
        <v>14360</v>
      </c>
      <c r="B338" s="9" t="s">
        <v>4230</v>
      </c>
      <c r="C338" s="9" t="s">
        <v>3797</v>
      </c>
      <c r="D338" s="10">
        <v>44571</v>
      </c>
      <c r="E338" s="9" t="s">
        <v>4231</v>
      </c>
      <c r="F338" s="9" t="s">
        <v>535</v>
      </c>
      <c r="G338" s="9" t="s">
        <v>4232</v>
      </c>
      <c r="H338" s="9" t="s">
        <v>281</v>
      </c>
      <c r="I338" s="9" t="s">
        <v>282</v>
      </c>
      <c r="J338" s="9" t="s">
        <v>603</v>
      </c>
      <c r="K338" s="9" t="s">
        <v>1696</v>
      </c>
      <c r="L338" s="9" t="s">
        <v>4233</v>
      </c>
      <c r="M338" s="9" t="s">
        <v>4234</v>
      </c>
      <c r="N338" s="8">
        <v>1</v>
      </c>
      <c r="O338" s="9" t="s">
        <v>4235</v>
      </c>
      <c r="P338" s="11">
        <v>99.9</v>
      </c>
      <c r="Q338" s="11">
        <v>88</v>
      </c>
      <c r="R338" s="11">
        <v>89</v>
      </c>
      <c r="S338" s="11">
        <v>1253.79</v>
      </c>
      <c r="T338" s="11">
        <v>125253.621</v>
      </c>
      <c r="U338" s="12">
        <v>0.05</v>
      </c>
      <c r="V338" s="12"/>
      <c r="W338" s="11"/>
      <c r="X338" s="9" t="s">
        <v>288</v>
      </c>
      <c r="Y338" s="10">
        <v>43994</v>
      </c>
      <c r="Z338" s="13">
        <v>0.1051</v>
      </c>
      <c r="AC338" s="9" t="s">
        <v>289</v>
      </c>
      <c r="AD338" s="9" t="s">
        <v>290</v>
      </c>
      <c r="AE338" s="8">
        <v>491.85629999999998</v>
      </c>
      <c r="AF338" s="14">
        <v>46.462330000000001</v>
      </c>
      <c r="AG338" s="14">
        <v>3.74668</v>
      </c>
      <c r="AH338" s="9" t="s">
        <v>3129</v>
      </c>
      <c r="AI338" s="15" t="s">
        <v>319</v>
      </c>
      <c r="AJ338" s="9" t="s">
        <v>293</v>
      </c>
      <c r="AK338" s="9" t="s">
        <v>4236</v>
      </c>
      <c r="AL338" s="9" t="s">
        <v>4237</v>
      </c>
      <c r="AM338" s="9"/>
      <c r="AN338" s="9" t="s">
        <v>4238</v>
      </c>
      <c r="AO338" s="9"/>
      <c r="AP338" s="9" t="s">
        <v>3792</v>
      </c>
      <c r="AQ338" s="9" t="s">
        <v>3512</v>
      </c>
      <c r="AR338" t="b">
        <v>0</v>
      </c>
      <c r="AS338" s="10"/>
      <c r="AT338" s="10" t="s">
        <v>299</v>
      </c>
      <c r="AU338" s="9"/>
      <c r="AW338" s="12"/>
      <c r="AX338" s="11"/>
      <c r="AY338" s="9"/>
      <c r="AZ338" t="b">
        <v>0</v>
      </c>
      <c r="BA338" s="9"/>
      <c r="BB338" s="12"/>
      <c r="BC338" s="11"/>
      <c r="BD338" s="9" t="s">
        <v>300</v>
      </c>
      <c r="BE338" s="9" t="s">
        <v>47</v>
      </c>
      <c r="BF338" s="9" t="s">
        <v>402</v>
      </c>
      <c r="BG338" s="9" t="s">
        <v>303</v>
      </c>
      <c r="BH338" s="9" t="s">
        <v>304</v>
      </c>
      <c r="BI338" s="9" t="s">
        <v>3802</v>
      </c>
      <c r="BJ338" s="9" t="s">
        <v>3803</v>
      </c>
      <c r="BK338" s="11">
        <v>400</v>
      </c>
      <c r="BL338" s="16" t="s">
        <v>299</v>
      </c>
      <c r="BM338" s="10"/>
      <c r="BN338" s="10">
        <v>45204.916666666664</v>
      </c>
      <c r="BO338" s="10"/>
      <c r="BP338" s="16"/>
      <c r="BQ338" s="16"/>
      <c r="BR338" s="9"/>
      <c r="BS338" s="9"/>
      <c r="BT338" s="9"/>
      <c r="BU338" s="9"/>
      <c r="BV338" s="9"/>
      <c r="BW338" s="10"/>
      <c r="BX338" s="15" t="s">
        <v>1126</v>
      </c>
      <c r="BY338" s="10">
        <v>44571</v>
      </c>
      <c r="BZ338" s="10">
        <v>51875</v>
      </c>
      <c r="CA338" s="10">
        <v>44791</v>
      </c>
      <c r="CC338" s="9" t="s">
        <v>308</v>
      </c>
      <c r="CD338" s="9" t="s">
        <v>309</v>
      </c>
    </row>
    <row r="339" spans="1:82">
      <c r="A339" s="8">
        <v>79219</v>
      </c>
      <c r="B339" s="9" t="s">
        <v>4239</v>
      </c>
      <c r="C339" s="9" t="s">
        <v>3609</v>
      </c>
      <c r="D339" s="10">
        <v>44564</v>
      </c>
      <c r="E339" s="9" t="s">
        <v>4240</v>
      </c>
      <c r="F339" s="9" t="s">
        <v>4241</v>
      </c>
      <c r="G339" s="9" t="s">
        <v>4242</v>
      </c>
      <c r="H339" s="9" t="s">
        <v>315</v>
      </c>
      <c r="I339" s="9" t="s">
        <v>282</v>
      </c>
      <c r="J339" s="9" t="s">
        <v>283</v>
      </c>
      <c r="K339" s="9" t="s">
        <v>1696</v>
      </c>
      <c r="L339" s="9" t="s">
        <v>4243</v>
      </c>
      <c r="M339" s="9" t="s">
        <v>4244</v>
      </c>
      <c r="N339" s="8">
        <v>1</v>
      </c>
      <c r="O339" s="9" t="s">
        <v>4245</v>
      </c>
      <c r="P339" s="11">
        <v>100</v>
      </c>
      <c r="Q339" s="11">
        <v>110</v>
      </c>
      <c r="R339" s="11">
        <v>90</v>
      </c>
      <c r="S339" s="11">
        <v>1282.1400000000001</v>
      </c>
      <c r="T339" s="11">
        <v>128214</v>
      </c>
      <c r="U339" s="12">
        <v>0.05</v>
      </c>
      <c r="V339" s="12"/>
      <c r="W339" s="11"/>
      <c r="X339" s="9" t="s">
        <v>288</v>
      </c>
      <c r="Y339" s="10">
        <v>43966</v>
      </c>
      <c r="Z339" s="13">
        <v>0.1051</v>
      </c>
      <c r="AC339" s="9" t="s">
        <v>289</v>
      </c>
      <c r="AD339" s="9" t="s">
        <v>290</v>
      </c>
      <c r="AE339" s="8">
        <v>488.18700000000001</v>
      </c>
      <c r="AF339" s="14">
        <v>46.435890000000001</v>
      </c>
      <c r="AG339" s="14">
        <v>-0.88509000000000004</v>
      </c>
      <c r="AH339" s="9" t="s">
        <v>3129</v>
      </c>
      <c r="AI339" s="15" t="s">
        <v>319</v>
      </c>
      <c r="AJ339" s="9" t="s">
        <v>293</v>
      </c>
      <c r="AK339" s="9" t="s">
        <v>4246</v>
      </c>
      <c r="AL339" s="9" t="s">
        <v>4247</v>
      </c>
      <c r="AM339" s="9"/>
      <c r="AN339" s="9" t="s">
        <v>4248</v>
      </c>
      <c r="AO339" s="9"/>
      <c r="AP339" s="9" t="s">
        <v>3619</v>
      </c>
      <c r="AQ339" s="9" t="s">
        <v>3178</v>
      </c>
      <c r="AR339" t="b">
        <v>0</v>
      </c>
      <c r="AS339" s="10"/>
      <c r="AT339" s="10" t="s">
        <v>299</v>
      </c>
      <c r="AU339" s="9" t="s">
        <v>1139</v>
      </c>
      <c r="AW339" s="12"/>
      <c r="AX339" s="11"/>
      <c r="AY339" s="9"/>
      <c r="AZ339" t="b">
        <v>0</v>
      </c>
      <c r="BA339" s="9"/>
      <c r="BB339" s="12"/>
      <c r="BC339" s="11"/>
      <c r="BD339" s="9" t="s">
        <v>300</v>
      </c>
      <c r="BE339" s="9" t="s">
        <v>86</v>
      </c>
      <c r="BF339" s="9" t="s">
        <v>402</v>
      </c>
      <c r="BG339" s="9" t="s">
        <v>529</v>
      </c>
      <c r="BH339" s="9" t="s">
        <v>304</v>
      </c>
      <c r="BI339" s="9" t="s">
        <v>3620</v>
      </c>
      <c r="BJ339" s="9" t="s">
        <v>3621</v>
      </c>
      <c r="BK339" s="11">
        <v>400</v>
      </c>
      <c r="BL339" s="16" t="s">
        <v>299</v>
      </c>
      <c r="BM339" s="10"/>
      <c r="BN339" s="10"/>
      <c r="BO339" s="10"/>
      <c r="BP339" s="16"/>
      <c r="BQ339" s="16"/>
      <c r="BR339" s="9" t="s">
        <v>4249</v>
      </c>
      <c r="BS339" s="9" t="s">
        <v>4250</v>
      </c>
      <c r="BT339" s="9" t="s">
        <v>4251</v>
      </c>
      <c r="BU339" s="9" t="s">
        <v>4252</v>
      </c>
      <c r="BV339" s="9"/>
      <c r="BW339" s="10"/>
      <c r="BX339" s="15" t="s">
        <v>3653</v>
      </c>
      <c r="BY339" s="10">
        <v>44564</v>
      </c>
      <c r="BZ339" s="10">
        <v>51868</v>
      </c>
      <c r="CA339" s="10">
        <v>44817</v>
      </c>
      <c r="CC339" s="9" t="s">
        <v>308</v>
      </c>
      <c r="CD339" s="9" t="s">
        <v>309</v>
      </c>
    </row>
    <row r="340" spans="1:82">
      <c r="A340" s="8">
        <v>17825</v>
      </c>
      <c r="B340" s="9" t="s">
        <v>2052</v>
      </c>
      <c r="C340" s="9" t="s">
        <v>3517</v>
      </c>
      <c r="D340" s="10">
        <v>44558</v>
      </c>
      <c r="E340" s="9" t="s">
        <v>4253</v>
      </c>
      <c r="F340" s="9" t="s">
        <v>2054</v>
      </c>
      <c r="G340" s="9" t="s">
        <v>4254</v>
      </c>
      <c r="H340" s="9" t="s">
        <v>281</v>
      </c>
      <c r="I340" s="9" t="s">
        <v>282</v>
      </c>
      <c r="J340" s="9" t="s">
        <v>283</v>
      </c>
      <c r="K340" s="9" t="s">
        <v>1696</v>
      </c>
      <c r="L340" s="9" t="s">
        <v>4255</v>
      </c>
      <c r="M340" s="9" t="s">
        <v>4256</v>
      </c>
      <c r="N340" s="8">
        <v>1</v>
      </c>
      <c r="O340" s="9" t="s">
        <v>4257</v>
      </c>
      <c r="P340" s="11">
        <v>100.8</v>
      </c>
      <c r="Q340" s="11">
        <v>110</v>
      </c>
      <c r="R340" s="11">
        <v>90</v>
      </c>
      <c r="S340" s="11">
        <v>1132.6400000000001</v>
      </c>
      <c r="T340" s="11">
        <v>114170.11199999999</v>
      </c>
      <c r="U340" s="12">
        <v>0.05</v>
      </c>
      <c r="V340" s="12"/>
      <c r="W340" s="11"/>
      <c r="X340" s="9" t="s">
        <v>288</v>
      </c>
      <c r="Y340" s="10">
        <v>44152</v>
      </c>
      <c r="Z340" s="13">
        <v>9.8699999999999996E-2</v>
      </c>
      <c r="AC340" s="9" t="s">
        <v>289</v>
      </c>
      <c r="AD340" s="9" t="s">
        <v>290</v>
      </c>
      <c r="AE340" s="8">
        <v>484.44076999999999</v>
      </c>
      <c r="AF340" s="14">
        <v>45.294800000000002</v>
      </c>
      <c r="AG340" s="14">
        <v>0.28260999999999997</v>
      </c>
      <c r="AH340" s="9" t="s">
        <v>3129</v>
      </c>
      <c r="AI340" s="15" t="s">
        <v>319</v>
      </c>
      <c r="AJ340" s="9" t="s">
        <v>293</v>
      </c>
      <c r="AK340" s="9" t="s">
        <v>4258</v>
      </c>
      <c r="AL340" s="9" t="s">
        <v>4259</v>
      </c>
      <c r="AM340" s="9"/>
      <c r="AN340" s="9" t="s">
        <v>4260</v>
      </c>
      <c r="AO340" s="9"/>
      <c r="AP340" s="9" t="s">
        <v>597</v>
      </c>
      <c r="AQ340" s="9" t="s">
        <v>528</v>
      </c>
      <c r="AR340" t="b">
        <v>0</v>
      </c>
      <c r="AS340" s="10"/>
      <c r="AT340" s="10" t="s">
        <v>299</v>
      </c>
      <c r="AU340" s="9"/>
      <c r="AW340" s="12"/>
      <c r="AX340" s="11"/>
      <c r="AY340" s="9"/>
      <c r="AZ340" t="b">
        <v>0</v>
      </c>
      <c r="BA340" s="9"/>
      <c r="BB340" s="12"/>
      <c r="BC340" s="11"/>
      <c r="BD340" s="9" t="s">
        <v>325</v>
      </c>
      <c r="BE340" s="9" t="s">
        <v>47</v>
      </c>
      <c r="BF340" s="9" t="s">
        <v>690</v>
      </c>
      <c r="BG340" s="9" t="s">
        <v>738</v>
      </c>
      <c r="BH340" s="9" t="s">
        <v>304</v>
      </c>
      <c r="BI340" s="9" t="s">
        <v>3527</v>
      </c>
      <c r="BJ340" s="9" t="s">
        <v>3528</v>
      </c>
      <c r="BK340" s="11">
        <v>400</v>
      </c>
      <c r="BL340" s="16" t="s">
        <v>299</v>
      </c>
      <c r="BM340" s="10"/>
      <c r="BN340" s="10">
        <v>45204.916666666664</v>
      </c>
      <c r="BO340" s="10"/>
      <c r="BP340" s="16"/>
      <c r="BQ340" s="16"/>
      <c r="BR340" s="9"/>
      <c r="BS340" s="9"/>
      <c r="BT340" s="9"/>
      <c r="BU340" s="9"/>
      <c r="BV340" s="9"/>
      <c r="BW340" s="10"/>
      <c r="BX340" s="15" t="s">
        <v>4261</v>
      </c>
      <c r="BY340" s="10">
        <v>44558</v>
      </c>
      <c r="BZ340" s="10">
        <v>51862</v>
      </c>
      <c r="CA340" s="10">
        <v>44770</v>
      </c>
      <c r="CC340" s="9" t="s">
        <v>308</v>
      </c>
      <c r="CD340" s="9" t="s">
        <v>309</v>
      </c>
    </row>
    <row r="341" spans="1:82">
      <c r="A341" s="8">
        <v>11584</v>
      </c>
      <c r="B341" s="9" t="s">
        <v>4262</v>
      </c>
      <c r="C341" s="9" t="s">
        <v>3797</v>
      </c>
      <c r="D341" s="10">
        <v>44546</v>
      </c>
      <c r="E341" s="9" t="s">
        <v>4263</v>
      </c>
      <c r="F341" s="9" t="s">
        <v>4264</v>
      </c>
      <c r="G341" s="9" t="s">
        <v>4265</v>
      </c>
      <c r="H341" s="9" t="s">
        <v>315</v>
      </c>
      <c r="I341" s="9" t="s">
        <v>282</v>
      </c>
      <c r="J341" s="9" t="s">
        <v>283</v>
      </c>
      <c r="K341" s="9" t="s">
        <v>1696</v>
      </c>
      <c r="L341" s="9" t="s">
        <v>4266</v>
      </c>
      <c r="M341" s="9" t="s">
        <v>4267</v>
      </c>
      <c r="N341" s="8">
        <v>1</v>
      </c>
      <c r="O341" s="9" t="s">
        <v>4268</v>
      </c>
      <c r="P341" s="11">
        <v>99.9</v>
      </c>
      <c r="Q341" s="11">
        <v>106</v>
      </c>
      <c r="R341" s="11">
        <v>89</v>
      </c>
      <c r="S341" s="11">
        <v>1126.2</v>
      </c>
      <c r="T341" s="11">
        <v>112507.38</v>
      </c>
      <c r="U341" s="12">
        <v>4.8000000000000001E-2</v>
      </c>
      <c r="V341" s="12"/>
      <c r="W341" s="11"/>
      <c r="X341" s="9" t="s">
        <v>288</v>
      </c>
      <c r="Y341" s="10">
        <v>43986</v>
      </c>
      <c r="Z341" s="13">
        <v>0.1051</v>
      </c>
      <c r="AC341" s="9" t="s">
        <v>289</v>
      </c>
      <c r="AD341" s="9" t="s">
        <v>290</v>
      </c>
      <c r="AE341" s="8">
        <v>504.45504</v>
      </c>
      <c r="AF341" s="14">
        <v>44.477200000000003</v>
      </c>
      <c r="AG341" s="14">
        <v>6.3191300000000004</v>
      </c>
      <c r="AH341" s="9" t="s">
        <v>3129</v>
      </c>
      <c r="AI341" s="15" t="s">
        <v>319</v>
      </c>
      <c r="AJ341" s="9" t="s">
        <v>293</v>
      </c>
      <c r="AK341" s="9" t="s">
        <v>4269</v>
      </c>
      <c r="AL341" s="9" t="s">
        <v>4270</v>
      </c>
      <c r="AM341" s="9"/>
      <c r="AN341" s="9" t="s">
        <v>4271</v>
      </c>
      <c r="AO341" s="9"/>
      <c r="AP341" s="9" t="s">
        <v>2946</v>
      </c>
      <c r="AQ341" s="9" t="s">
        <v>3178</v>
      </c>
      <c r="AR341" t="b">
        <v>1</v>
      </c>
      <c r="AS341" s="10">
        <v>44561</v>
      </c>
      <c r="AT341" s="10">
        <v>46022</v>
      </c>
      <c r="AU341" s="9" t="s">
        <v>1139</v>
      </c>
      <c r="AW341" s="12"/>
      <c r="AX341" s="11">
        <v>2300</v>
      </c>
      <c r="AY341" s="9" t="s">
        <v>471</v>
      </c>
      <c r="AZ341" t="b">
        <v>1</v>
      </c>
      <c r="BA341" s="9" t="s">
        <v>472</v>
      </c>
      <c r="BB341" s="12"/>
      <c r="BC341" s="11">
        <v>1000</v>
      </c>
      <c r="BD341" s="9" t="s">
        <v>300</v>
      </c>
      <c r="BE341" s="9" t="s">
        <v>47</v>
      </c>
      <c r="BF341" s="9" t="s">
        <v>690</v>
      </c>
      <c r="BG341" s="9" t="s">
        <v>967</v>
      </c>
      <c r="BH341" s="9" t="s">
        <v>304</v>
      </c>
      <c r="BI341" s="9" t="s">
        <v>3802</v>
      </c>
      <c r="BJ341" s="9" t="s">
        <v>3803</v>
      </c>
      <c r="BK341" s="11">
        <v>400</v>
      </c>
      <c r="BL341" s="16" t="s">
        <v>299</v>
      </c>
      <c r="BM341" s="10"/>
      <c r="BN341" s="10">
        <v>45204.916666666664</v>
      </c>
      <c r="BO341" s="10"/>
      <c r="BP341" s="16"/>
      <c r="BQ341" s="16"/>
      <c r="BR341" s="9" t="s">
        <v>4269</v>
      </c>
      <c r="BS341" s="9" t="s">
        <v>4272</v>
      </c>
      <c r="BT341" s="9" t="s">
        <v>4273</v>
      </c>
      <c r="BU341" s="9" t="s">
        <v>4264</v>
      </c>
      <c r="BV341" s="9"/>
      <c r="BW341" s="10"/>
      <c r="BX341" s="15" t="s">
        <v>4274</v>
      </c>
      <c r="BY341" s="10">
        <v>44546</v>
      </c>
      <c r="BZ341" s="10">
        <v>51850</v>
      </c>
      <c r="CA341" s="10">
        <v>44813</v>
      </c>
      <c r="CC341" s="9" t="s">
        <v>308</v>
      </c>
      <c r="CD341" s="9" t="s">
        <v>309</v>
      </c>
    </row>
    <row r="342" spans="1:82">
      <c r="A342" s="8">
        <v>12247</v>
      </c>
      <c r="B342" s="9" t="s">
        <v>1101</v>
      </c>
      <c r="C342" s="9" t="s">
        <v>3797</v>
      </c>
      <c r="D342" s="10">
        <v>44546</v>
      </c>
      <c r="E342" s="9" t="s">
        <v>4275</v>
      </c>
      <c r="F342" s="9" t="s">
        <v>4276</v>
      </c>
      <c r="G342" s="9" t="s">
        <v>4277</v>
      </c>
      <c r="H342" s="9" t="s">
        <v>281</v>
      </c>
      <c r="I342" s="9" t="s">
        <v>282</v>
      </c>
      <c r="J342" s="9" t="s">
        <v>283</v>
      </c>
      <c r="K342" s="9" t="s">
        <v>1696</v>
      </c>
      <c r="L342" s="9" t="s">
        <v>4278</v>
      </c>
      <c r="M342" s="9" t="s">
        <v>4279</v>
      </c>
      <c r="N342" s="8">
        <v>1</v>
      </c>
      <c r="O342" s="9" t="s">
        <v>4280</v>
      </c>
      <c r="P342" s="11">
        <v>99.9</v>
      </c>
      <c r="Q342" s="11">
        <v>110</v>
      </c>
      <c r="R342" s="11">
        <v>89</v>
      </c>
      <c r="S342" s="11">
        <v>1556.29</v>
      </c>
      <c r="T342" s="11">
        <v>155473.37100000001</v>
      </c>
      <c r="U342" s="12">
        <v>0.05</v>
      </c>
      <c r="V342" s="12"/>
      <c r="W342" s="11"/>
      <c r="X342" s="9" t="s">
        <v>288</v>
      </c>
      <c r="Y342" s="10">
        <v>44095</v>
      </c>
      <c r="Z342" s="13">
        <v>0.10249999999999999</v>
      </c>
      <c r="AC342" s="9" t="s">
        <v>289</v>
      </c>
      <c r="AD342" s="9" t="s">
        <v>290</v>
      </c>
      <c r="AE342" s="8">
        <v>491.85629999999998</v>
      </c>
      <c r="AF342" s="14">
        <v>44.359580000000001</v>
      </c>
      <c r="AG342" s="14">
        <v>6.3677900000000003</v>
      </c>
      <c r="AH342" s="9" t="s">
        <v>3129</v>
      </c>
      <c r="AI342" s="15" t="s">
        <v>319</v>
      </c>
      <c r="AJ342" s="9" t="s">
        <v>293</v>
      </c>
      <c r="AK342" s="9" t="s">
        <v>4281</v>
      </c>
      <c r="AL342" s="9" t="s">
        <v>4282</v>
      </c>
      <c r="AM342" s="9" t="s">
        <v>4283</v>
      </c>
      <c r="AN342" s="9" t="s">
        <v>4284</v>
      </c>
      <c r="AO342" s="9" t="s">
        <v>4285</v>
      </c>
      <c r="AP342" s="9" t="s">
        <v>2946</v>
      </c>
      <c r="AQ342" s="9" t="s">
        <v>3134</v>
      </c>
      <c r="AR342" t="b">
        <v>0</v>
      </c>
      <c r="AS342" s="10"/>
      <c r="AT342" s="10" t="s">
        <v>299</v>
      </c>
      <c r="AU342" s="9"/>
      <c r="AW342" s="12"/>
      <c r="AX342" s="11"/>
      <c r="AY342" s="9"/>
      <c r="AZ342" t="b">
        <v>0</v>
      </c>
      <c r="BA342" s="9"/>
      <c r="BB342" s="12"/>
      <c r="BC342" s="11"/>
      <c r="BD342" s="9" t="s">
        <v>300</v>
      </c>
      <c r="BE342" s="9" t="s">
        <v>47</v>
      </c>
      <c r="BF342" s="9" t="s">
        <v>690</v>
      </c>
      <c r="BG342" s="9" t="s">
        <v>967</v>
      </c>
      <c r="BH342" s="9" t="s">
        <v>304</v>
      </c>
      <c r="BI342" s="9" t="s">
        <v>3802</v>
      </c>
      <c r="BJ342" s="9" t="s">
        <v>3803</v>
      </c>
      <c r="BK342" s="11">
        <v>400</v>
      </c>
      <c r="BL342" s="16" t="s">
        <v>299</v>
      </c>
      <c r="BM342" s="10"/>
      <c r="BN342" s="10"/>
      <c r="BO342" s="10"/>
      <c r="BP342" s="16"/>
      <c r="BQ342" s="16"/>
      <c r="BR342" s="9" t="s">
        <v>4286</v>
      </c>
      <c r="BS342" s="9" t="s">
        <v>4287</v>
      </c>
      <c r="BT342" s="9" t="s">
        <v>4288</v>
      </c>
      <c r="BU342" s="9" t="s">
        <v>4289</v>
      </c>
      <c r="BV342" s="9"/>
      <c r="BW342" s="10">
        <v>55272</v>
      </c>
      <c r="BX342" s="15" t="s">
        <v>4290</v>
      </c>
      <c r="BY342" s="10">
        <v>44546</v>
      </c>
      <c r="BZ342" s="10">
        <v>51850</v>
      </c>
      <c r="CA342" s="10">
        <v>44958</v>
      </c>
      <c r="CC342" s="9" t="s">
        <v>308</v>
      </c>
      <c r="CD342" s="9" t="s">
        <v>309</v>
      </c>
    </row>
    <row r="343" spans="1:82">
      <c r="A343" s="8">
        <v>79217</v>
      </c>
      <c r="B343" s="9" t="s">
        <v>4291</v>
      </c>
      <c r="C343" s="9" t="s">
        <v>3609</v>
      </c>
      <c r="D343" s="10">
        <v>44537</v>
      </c>
      <c r="E343" s="9" t="s">
        <v>4292</v>
      </c>
      <c r="F343" s="9" t="s">
        <v>921</v>
      </c>
      <c r="G343" s="9" t="s">
        <v>4293</v>
      </c>
      <c r="H343" s="9" t="s">
        <v>315</v>
      </c>
      <c r="I343" s="9" t="s">
        <v>282</v>
      </c>
      <c r="J343" s="9" t="s">
        <v>283</v>
      </c>
      <c r="K343" s="9" t="s">
        <v>1696</v>
      </c>
      <c r="L343" s="9" t="s">
        <v>4294</v>
      </c>
      <c r="M343" s="9" t="s">
        <v>4295</v>
      </c>
      <c r="N343" s="8">
        <v>1</v>
      </c>
      <c r="O343" s="9" t="s">
        <v>4296</v>
      </c>
      <c r="P343" s="11">
        <v>99.75</v>
      </c>
      <c r="Q343" s="11">
        <v>110</v>
      </c>
      <c r="R343" s="11">
        <v>90</v>
      </c>
      <c r="S343" s="11">
        <v>1180.0999999999999</v>
      </c>
      <c r="T343" s="11">
        <v>117714.97500000001</v>
      </c>
      <c r="U343" s="12">
        <v>5.2999999999999999E-2</v>
      </c>
      <c r="V343" s="12"/>
      <c r="W343" s="11"/>
      <c r="X343" s="9" t="s">
        <v>288</v>
      </c>
      <c r="Y343" s="10">
        <v>43733</v>
      </c>
      <c r="Z343" s="13">
        <v>0.1094</v>
      </c>
      <c r="AC343" s="9" t="s">
        <v>289</v>
      </c>
      <c r="AD343" s="9" t="s">
        <v>290</v>
      </c>
      <c r="AE343" s="8">
        <v>484.56954000000002</v>
      </c>
      <c r="AF343" s="14">
        <v>46.73742</v>
      </c>
      <c r="AG343" s="14">
        <v>-1.52325</v>
      </c>
      <c r="AH343" s="9" t="s">
        <v>3129</v>
      </c>
      <c r="AI343" s="15" t="s">
        <v>319</v>
      </c>
      <c r="AJ343" s="9" t="s">
        <v>293</v>
      </c>
      <c r="AK343" s="9" t="s">
        <v>3825</v>
      </c>
      <c r="AL343" s="9" t="s">
        <v>3826</v>
      </c>
      <c r="AM343" s="9"/>
      <c r="AN343" s="9" t="s">
        <v>3827</v>
      </c>
      <c r="AO343" s="9" t="s">
        <v>4297</v>
      </c>
      <c r="AP343" s="9" t="s">
        <v>3619</v>
      </c>
      <c r="AQ343" s="9" t="s">
        <v>3178</v>
      </c>
      <c r="AR343" t="b">
        <v>1</v>
      </c>
      <c r="AS343" s="10">
        <v>44902</v>
      </c>
      <c r="AT343" s="10">
        <v>45998</v>
      </c>
      <c r="AU343" s="9" t="s">
        <v>1139</v>
      </c>
      <c r="AV343" t="b">
        <v>1</v>
      </c>
      <c r="AW343" s="12"/>
      <c r="AX343" s="11">
        <v>1350</v>
      </c>
      <c r="AY343" s="9" t="s">
        <v>471</v>
      </c>
      <c r="AZ343" t="b">
        <v>1</v>
      </c>
      <c r="BA343" s="9" t="s">
        <v>242</v>
      </c>
      <c r="BB343" s="12">
        <v>0.1</v>
      </c>
      <c r="BC343" s="11"/>
      <c r="BD343" s="9" t="s">
        <v>300</v>
      </c>
      <c r="BE343" s="9" t="s">
        <v>86</v>
      </c>
      <c r="BF343" s="9" t="s">
        <v>402</v>
      </c>
      <c r="BG343" s="9" t="s">
        <v>529</v>
      </c>
      <c r="BH343" s="9" t="s">
        <v>304</v>
      </c>
      <c r="BI343" s="9" t="s">
        <v>3620</v>
      </c>
      <c r="BJ343" s="9" t="s">
        <v>3621</v>
      </c>
      <c r="BK343" s="11">
        <v>400</v>
      </c>
      <c r="BL343" s="16" t="s">
        <v>299</v>
      </c>
      <c r="BM343" s="10"/>
      <c r="BN343" s="10"/>
      <c r="BO343" s="10"/>
      <c r="BP343" s="16"/>
      <c r="BQ343" s="16"/>
      <c r="BR343" s="9" t="s">
        <v>3828</v>
      </c>
      <c r="BS343" s="9" t="s">
        <v>3820</v>
      </c>
      <c r="BT343" s="9" t="s">
        <v>3829</v>
      </c>
      <c r="BU343" s="9" t="s">
        <v>921</v>
      </c>
      <c r="BV343" s="9" t="s">
        <v>3830</v>
      </c>
      <c r="BW343" s="10"/>
      <c r="BX343" s="15" t="s">
        <v>4298</v>
      </c>
      <c r="BY343" s="10">
        <v>44537</v>
      </c>
      <c r="BZ343" s="10">
        <v>51841</v>
      </c>
      <c r="CA343" s="10">
        <v>45250</v>
      </c>
      <c r="CC343" s="9" t="s">
        <v>308</v>
      </c>
      <c r="CD343" s="9" t="s">
        <v>309</v>
      </c>
    </row>
    <row r="344" spans="1:82">
      <c r="A344" s="8">
        <v>14301</v>
      </c>
      <c r="B344" s="9" t="s">
        <v>4299</v>
      </c>
      <c r="C344" s="9" t="s">
        <v>3797</v>
      </c>
      <c r="D344" s="10">
        <v>44531</v>
      </c>
      <c r="E344" s="9" t="s">
        <v>4300</v>
      </c>
      <c r="F344" s="9" t="s">
        <v>4301</v>
      </c>
      <c r="G344" s="9" t="s">
        <v>4302</v>
      </c>
      <c r="H344" s="9" t="s">
        <v>281</v>
      </c>
      <c r="I344" s="9" t="s">
        <v>282</v>
      </c>
      <c r="J344" s="9" t="s">
        <v>283</v>
      </c>
      <c r="K344" s="9" t="s">
        <v>1696</v>
      </c>
      <c r="L344" s="9" t="s">
        <v>4303</v>
      </c>
      <c r="M344" s="9" t="s">
        <v>4304</v>
      </c>
      <c r="N344" s="8">
        <v>1</v>
      </c>
      <c r="O344" s="9" t="s">
        <v>4305</v>
      </c>
      <c r="P344" s="11">
        <v>94.35</v>
      </c>
      <c r="Q344" s="11">
        <v>110</v>
      </c>
      <c r="R344" s="11">
        <v>89</v>
      </c>
      <c r="S344" s="11">
        <v>1342.82</v>
      </c>
      <c r="T344" s="11">
        <v>126695.067</v>
      </c>
      <c r="U344" s="12">
        <v>0.05</v>
      </c>
      <c r="V344" s="12"/>
      <c r="W344" s="11"/>
      <c r="X344" s="9" t="s">
        <v>288</v>
      </c>
      <c r="Y344" s="10">
        <v>43999</v>
      </c>
      <c r="Z344" s="13">
        <v>0.1051</v>
      </c>
      <c r="AC344" s="9" t="s">
        <v>289</v>
      </c>
      <c r="AD344" s="9" t="s">
        <v>290</v>
      </c>
      <c r="AE344" s="8">
        <v>464.53095000000002</v>
      </c>
      <c r="AF344" s="14">
        <v>43.54224</v>
      </c>
      <c r="AG344" s="14">
        <v>2.2124799999999998</v>
      </c>
      <c r="AH344" s="9" t="s">
        <v>3129</v>
      </c>
      <c r="AI344" s="15" t="s">
        <v>319</v>
      </c>
      <c r="AJ344" s="9" t="s">
        <v>293</v>
      </c>
      <c r="AK344" s="9" t="s">
        <v>4306</v>
      </c>
      <c r="AL344" s="9" t="s">
        <v>4307</v>
      </c>
      <c r="AM344" s="9"/>
      <c r="AN344" s="9" t="s">
        <v>4308</v>
      </c>
      <c r="AO344" s="9"/>
      <c r="AP344" s="9" t="s">
        <v>3133</v>
      </c>
      <c r="AQ344" s="9" t="s">
        <v>3134</v>
      </c>
      <c r="AR344" t="b">
        <v>0</v>
      </c>
      <c r="AS344" s="10"/>
      <c r="AT344" s="10" t="s">
        <v>299</v>
      </c>
      <c r="AU344" s="9"/>
      <c r="AW344" s="12"/>
      <c r="AX344" s="11"/>
      <c r="AY344" s="9"/>
      <c r="AZ344" t="b">
        <v>0</v>
      </c>
      <c r="BA344" s="9"/>
      <c r="BB344" s="12"/>
      <c r="BC344" s="11"/>
      <c r="BD344" s="9" t="s">
        <v>300</v>
      </c>
      <c r="BE344" s="9" t="s">
        <v>47</v>
      </c>
      <c r="BF344" s="9" t="s">
        <v>402</v>
      </c>
      <c r="BG344" s="9" t="s">
        <v>738</v>
      </c>
      <c r="BH344" s="9" t="s">
        <v>304</v>
      </c>
      <c r="BI344" s="9" t="s">
        <v>3802</v>
      </c>
      <c r="BJ344" s="9" t="s">
        <v>3803</v>
      </c>
      <c r="BK344" s="11">
        <v>400</v>
      </c>
      <c r="BL344" s="16" t="s">
        <v>299</v>
      </c>
      <c r="BM344" s="10"/>
      <c r="BN344" s="10"/>
      <c r="BO344" s="10"/>
      <c r="BP344" s="16"/>
      <c r="BQ344" s="16"/>
      <c r="BR344" s="9"/>
      <c r="BS344" s="9"/>
      <c r="BT344" s="9"/>
      <c r="BU344" s="9"/>
      <c r="BV344" s="9"/>
      <c r="BW344" s="10"/>
      <c r="BX344" s="15" t="s">
        <v>4309</v>
      </c>
      <c r="BY344" s="10">
        <v>44531</v>
      </c>
      <c r="BZ344" s="10">
        <v>51835</v>
      </c>
      <c r="CA344" s="10">
        <v>44749</v>
      </c>
      <c r="CC344" s="9" t="s">
        <v>308</v>
      </c>
      <c r="CD344" s="9" t="s">
        <v>309</v>
      </c>
    </row>
    <row r="345" spans="1:82">
      <c r="A345" s="8">
        <v>12139</v>
      </c>
      <c r="B345" s="9" t="s">
        <v>3059</v>
      </c>
      <c r="C345" s="9" t="s">
        <v>3502</v>
      </c>
      <c r="D345" s="10">
        <v>44530</v>
      </c>
      <c r="E345" s="9" t="s">
        <v>4310</v>
      </c>
      <c r="F345" s="9" t="s">
        <v>2764</v>
      </c>
      <c r="G345" s="9" t="s">
        <v>4311</v>
      </c>
      <c r="H345" s="9" t="s">
        <v>281</v>
      </c>
      <c r="I345" s="9" t="s">
        <v>282</v>
      </c>
      <c r="J345" s="9" t="s">
        <v>283</v>
      </c>
      <c r="K345" s="9" t="s">
        <v>1696</v>
      </c>
      <c r="L345" s="9" t="s">
        <v>4312</v>
      </c>
      <c r="M345" s="9" t="s">
        <v>4313</v>
      </c>
      <c r="N345" s="8">
        <v>1</v>
      </c>
      <c r="O345" s="9" t="s">
        <v>4314</v>
      </c>
      <c r="P345" s="11">
        <v>103.36</v>
      </c>
      <c r="Q345" s="11">
        <v>88</v>
      </c>
      <c r="R345" s="11">
        <v>99.68</v>
      </c>
      <c r="S345" s="11">
        <v>1405.67</v>
      </c>
      <c r="T345" s="11">
        <v>145290.05119999999</v>
      </c>
      <c r="U345" s="12">
        <v>0.04</v>
      </c>
      <c r="V345" s="12"/>
      <c r="W345" s="11"/>
      <c r="X345" s="9" t="s">
        <v>288</v>
      </c>
      <c r="Y345" s="10">
        <v>43768</v>
      </c>
      <c r="Z345" s="13">
        <v>0.1076</v>
      </c>
      <c r="AC345" s="9" t="s">
        <v>289</v>
      </c>
      <c r="AD345" s="9" t="s">
        <v>290</v>
      </c>
      <c r="AE345" s="8">
        <v>508.19173999999998</v>
      </c>
      <c r="AF345" s="14">
        <v>44.1462</v>
      </c>
      <c r="AG345" s="14">
        <v>6.2997100000000001</v>
      </c>
      <c r="AH345" s="9" t="s">
        <v>3129</v>
      </c>
      <c r="AI345" s="15" t="s">
        <v>319</v>
      </c>
      <c r="AJ345" s="9" t="s">
        <v>293</v>
      </c>
      <c r="AK345" s="9" t="s">
        <v>3063</v>
      </c>
      <c r="AL345" s="9" t="s">
        <v>3064</v>
      </c>
      <c r="AM345" s="9"/>
      <c r="AN345" s="9" t="s">
        <v>3631</v>
      </c>
      <c r="AO345" s="9"/>
      <c r="AP345" s="9" t="s">
        <v>3792</v>
      </c>
      <c r="AQ345" s="9" t="s">
        <v>3134</v>
      </c>
      <c r="AR345" t="b">
        <v>0</v>
      </c>
      <c r="AS345" s="10"/>
      <c r="AT345" s="10" t="s">
        <v>299</v>
      </c>
      <c r="AU345" s="9"/>
      <c r="AW345" s="12"/>
      <c r="AX345" s="11"/>
      <c r="AY345" s="9"/>
      <c r="AZ345" t="b">
        <v>0</v>
      </c>
      <c r="BA345" s="9"/>
      <c r="BB345" s="12"/>
      <c r="BC345" s="11"/>
      <c r="BD345" s="9" t="s">
        <v>300</v>
      </c>
      <c r="BE345" s="9" t="s">
        <v>86</v>
      </c>
      <c r="BF345" s="9" t="s">
        <v>402</v>
      </c>
      <c r="BG345" s="9" t="s">
        <v>967</v>
      </c>
      <c r="BH345" s="9" t="s">
        <v>304</v>
      </c>
      <c r="BI345" s="9" t="s">
        <v>3513</v>
      </c>
      <c r="BJ345" s="9" t="s">
        <v>3514</v>
      </c>
      <c r="BK345" s="11">
        <v>400</v>
      </c>
      <c r="BL345" s="16" t="s">
        <v>299</v>
      </c>
      <c r="BM345" s="10"/>
      <c r="BN345" s="10">
        <v>45204.916666666664</v>
      </c>
      <c r="BO345" s="10"/>
      <c r="BP345" s="16"/>
      <c r="BQ345" s="16"/>
      <c r="BR345" s="9"/>
      <c r="BS345" s="9"/>
      <c r="BT345" s="9"/>
      <c r="BU345" s="9"/>
      <c r="BV345" s="9"/>
      <c r="BW345" s="10"/>
      <c r="BX345" s="15" t="s">
        <v>4315</v>
      </c>
      <c r="BY345" s="10">
        <v>44531</v>
      </c>
      <c r="BZ345" s="10">
        <v>51835</v>
      </c>
      <c r="CA345" s="10">
        <v>44985</v>
      </c>
      <c r="CC345" s="9" t="s">
        <v>308</v>
      </c>
      <c r="CD345" s="9" t="s">
        <v>309</v>
      </c>
    </row>
    <row r="346" spans="1:82">
      <c r="A346" s="8">
        <v>12198</v>
      </c>
      <c r="B346" s="9" t="s">
        <v>4316</v>
      </c>
      <c r="C346" s="9" t="s">
        <v>3502</v>
      </c>
      <c r="D346" s="10">
        <v>44519</v>
      </c>
      <c r="E346" s="9" t="s">
        <v>4317</v>
      </c>
      <c r="F346" s="9" t="s">
        <v>1034</v>
      </c>
      <c r="G346" s="9" t="s">
        <v>4318</v>
      </c>
      <c r="H346" s="9" t="s">
        <v>281</v>
      </c>
      <c r="I346" s="9" t="s">
        <v>282</v>
      </c>
      <c r="J346" s="9" t="s">
        <v>283</v>
      </c>
      <c r="K346" s="9" t="s">
        <v>1696</v>
      </c>
      <c r="L346" s="9" t="s">
        <v>4319</v>
      </c>
      <c r="M346" s="9" t="s">
        <v>4320</v>
      </c>
      <c r="N346" s="8">
        <v>1</v>
      </c>
      <c r="O346" s="9" t="s">
        <v>4321</v>
      </c>
      <c r="P346" s="11">
        <v>99.9</v>
      </c>
      <c r="Q346" s="11">
        <v>88</v>
      </c>
      <c r="R346" s="11">
        <v>87</v>
      </c>
      <c r="S346" s="11">
        <v>1494.25</v>
      </c>
      <c r="T346" s="11">
        <v>149275.57500000001</v>
      </c>
      <c r="U346" s="12">
        <v>0.02</v>
      </c>
      <c r="V346" s="12"/>
      <c r="W346" s="11"/>
      <c r="X346" s="9" t="s">
        <v>288</v>
      </c>
      <c r="Y346" s="10">
        <v>43938</v>
      </c>
      <c r="Z346" s="13">
        <v>0.1051</v>
      </c>
      <c r="AC346" s="9" t="s">
        <v>289</v>
      </c>
      <c r="AD346" s="9" t="s">
        <v>290</v>
      </c>
      <c r="AE346" s="8">
        <v>504.45504</v>
      </c>
      <c r="AF346" s="14">
        <v>44.151179999999997</v>
      </c>
      <c r="AG346" s="14">
        <v>4.2159399999999998</v>
      </c>
      <c r="AH346" s="9" t="s">
        <v>3129</v>
      </c>
      <c r="AI346" s="15" t="s">
        <v>319</v>
      </c>
      <c r="AJ346" s="9" t="s">
        <v>293</v>
      </c>
      <c r="AK346" s="9" t="s">
        <v>4322</v>
      </c>
      <c r="AL346" s="9" t="s">
        <v>4323</v>
      </c>
      <c r="AM346" s="9"/>
      <c r="AN346" s="9" t="s">
        <v>4324</v>
      </c>
      <c r="AO346" s="9"/>
      <c r="AP346" s="9" t="s">
        <v>3133</v>
      </c>
      <c r="AQ346" s="9" t="s">
        <v>3134</v>
      </c>
      <c r="AR346" t="b">
        <v>0</v>
      </c>
      <c r="AS346" s="10"/>
      <c r="AT346" s="10" t="s">
        <v>299</v>
      </c>
      <c r="AU346" s="9"/>
      <c r="AW346" s="12"/>
      <c r="AX346" s="11"/>
      <c r="AY346" s="9"/>
      <c r="AZ346" t="b">
        <v>0</v>
      </c>
      <c r="BA346" s="9"/>
      <c r="BB346" s="12"/>
      <c r="BC346" s="11"/>
      <c r="BD346" s="9" t="s">
        <v>300</v>
      </c>
      <c r="BE346" s="9" t="s">
        <v>86</v>
      </c>
      <c r="BF346" s="9" t="s">
        <v>402</v>
      </c>
      <c r="BG346" s="9" t="s">
        <v>967</v>
      </c>
      <c r="BH346" s="9" t="s">
        <v>304</v>
      </c>
      <c r="BI346" s="9" t="s">
        <v>3513</v>
      </c>
      <c r="BJ346" s="9" t="s">
        <v>3514</v>
      </c>
      <c r="BK346" s="11">
        <v>400</v>
      </c>
      <c r="BL346" s="16" t="s">
        <v>299</v>
      </c>
      <c r="BM346" s="10"/>
      <c r="BN346" s="10"/>
      <c r="BO346" s="10"/>
      <c r="BP346" s="16"/>
      <c r="BQ346" s="16"/>
      <c r="BR346" s="9"/>
      <c r="BS346" s="9"/>
      <c r="BT346" s="9"/>
      <c r="BU346" s="9"/>
      <c r="BV346" s="9"/>
      <c r="BW346" s="10"/>
      <c r="BX346" s="15" t="s">
        <v>1126</v>
      </c>
      <c r="BY346" s="10">
        <v>44519</v>
      </c>
      <c r="BZ346" s="10">
        <v>51823</v>
      </c>
      <c r="CA346" s="10">
        <v>44782</v>
      </c>
      <c r="CC346" s="9" t="s">
        <v>308</v>
      </c>
      <c r="CD346" s="9" t="s">
        <v>309</v>
      </c>
    </row>
    <row r="347" spans="1:82">
      <c r="A347" s="8">
        <v>12415</v>
      </c>
      <c r="B347" s="9" t="s">
        <v>2640</v>
      </c>
      <c r="C347" s="9" t="s">
        <v>3797</v>
      </c>
      <c r="D347" s="10">
        <v>44517</v>
      </c>
      <c r="E347" s="9" t="s">
        <v>4325</v>
      </c>
      <c r="F347" s="9" t="s">
        <v>4326</v>
      </c>
      <c r="G347" s="9" t="s">
        <v>4327</v>
      </c>
      <c r="H347" s="9" t="s">
        <v>281</v>
      </c>
      <c r="I347" s="9" t="s">
        <v>282</v>
      </c>
      <c r="J347" s="9" t="s">
        <v>283</v>
      </c>
      <c r="K347" s="9" t="s">
        <v>1696</v>
      </c>
      <c r="L347" s="9" t="s">
        <v>4328</v>
      </c>
      <c r="M347" s="9" t="s">
        <v>4329</v>
      </c>
      <c r="N347" s="8">
        <v>1</v>
      </c>
      <c r="O347" s="9" t="s">
        <v>4330</v>
      </c>
      <c r="P347" s="11">
        <v>99.9</v>
      </c>
      <c r="Q347" s="11">
        <v>110</v>
      </c>
      <c r="R347" s="11">
        <v>90</v>
      </c>
      <c r="S347" s="11">
        <v>1290.1099999999999</v>
      </c>
      <c r="T347" s="11">
        <v>128881.989</v>
      </c>
      <c r="U347" s="12">
        <v>0.05</v>
      </c>
      <c r="V347" s="12"/>
      <c r="W347" s="11"/>
      <c r="X347" s="9" t="s">
        <v>288</v>
      </c>
      <c r="Y347" s="10">
        <v>44095</v>
      </c>
      <c r="Z347" s="13">
        <v>0.10249999999999999</v>
      </c>
      <c r="AC347" s="9" t="s">
        <v>289</v>
      </c>
      <c r="AD347" s="9" t="s">
        <v>290</v>
      </c>
      <c r="AE347" s="8">
        <v>491.85629999999998</v>
      </c>
      <c r="AF347" s="14">
        <v>45.494790000000002</v>
      </c>
      <c r="AG347" s="14">
        <v>-0.31090000000000001</v>
      </c>
      <c r="AH347" s="9" t="s">
        <v>3129</v>
      </c>
      <c r="AI347" s="15" t="s">
        <v>319</v>
      </c>
      <c r="AJ347" s="9" t="s">
        <v>293</v>
      </c>
      <c r="AK347" s="9" t="s">
        <v>4331</v>
      </c>
      <c r="AL347" s="9" t="s">
        <v>2648</v>
      </c>
      <c r="AM347" s="9"/>
      <c r="AN347" s="9" t="s">
        <v>2649</v>
      </c>
      <c r="AO347" s="9"/>
      <c r="AP347" s="9" t="s">
        <v>597</v>
      </c>
      <c r="AQ347" s="9" t="s">
        <v>3512</v>
      </c>
      <c r="AR347" t="b">
        <v>0</v>
      </c>
      <c r="AS347" s="10"/>
      <c r="AT347" s="10" t="s">
        <v>299</v>
      </c>
      <c r="AU347" s="9"/>
      <c r="AW347" s="12"/>
      <c r="AX347" s="11"/>
      <c r="AY347" s="9"/>
      <c r="AZ347" t="b">
        <v>0</v>
      </c>
      <c r="BA347" s="9"/>
      <c r="BB347" s="12"/>
      <c r="BC347" s="11"/>
      <c r="BD347" s="9" t="s">
        <v>325</v>
      </c>
      <c r="BE347" s="9" t="s">
        <v>47</v>
      </c>
      <c r="BF347" s="9" t="s">
        <v>690</v>
      </c>
      <c r="BG347" s="9" t="s">
        <v>749</v>
      </c>
      <c r="BH347" s="9" t="s">
        <v>304</v>
      </c>
      <c r="BI347" s="9" t="s">
        <v>3802</v>
      </c>
      <c r="BJ347" s="9" t="s">
        <v>3803</v>
      </c>
      <c r="BK347" s="11">
        <v>400</v>
      </c>
      <c r="BL347" s="16" t="s">
        <v>299</v>
      </c>
      <c r="BM347" s="10"/>
      <c r="BN347" s="10">
        <v>45204.916666666664</v>
      </c>
      <c r="BO347" s="10"/>
      <c r="BP347" s="16"/>
      <c r="BQ347" s="16"/>
      <c r="BR347" s="9" t="s">
        <v>4332</v>
      </c>
      <c r="BS347" s="9" t="s">
        <v>4333</v>
      </c>
      <c r="BT347" s="9" t="s">
        <v>4334</v>
      </c>
      <c r="BU347" s="9" t="s">
        <v>4326</v>
      </c>
      <c r="BV347" s="9"/>
      <c r="BW347" s="10">
        <v>55474</v>
      </c>
      <c r="BX347" s="15" t="s">
        <v>4335</v>
      </c>
      <c r="BY347" s="10">
        <v>44517</v>
      </c>
      <c r="BZ347" s="10">
        <v>51821</v>
      </c>
      <c r="CA347" s="10">
        <v>44770</v>
      </c>
      <c r="CC347" s="9" t="s">
        <v>308</v>
      </c>
      <c r="CD347" s="9" t="s">
        <v>309</v>
      </c>
    </row>
    <row r="348" spans="1:82">
      <c r="A348" s="8">
        <v>79218</v>
      </c>
      <c r="B348" s="9" t="s">
        <v>4336</v>
      </c>
      <c r="C348" s="9" t="s">
        <v>3609</v>
      </c>
      <c r="D348" s="10">
        <v>44516</v>
      </c>
      <c r="E348" s="9" t="s">
        <v>4337</v>
      </c>
      <c r="F348" s="9" t="s">
        <v>921</v>
      </c>
      <c r="G348" s="9" t="s">
        <v>3821</v>
      </c>
      <c r="H348" s="9" t="s">
        <v>281</v>
      </c>
      <c r="I348" s="9" t="s">
        <v>282</v>
      </c>
      <c r="J348" s="9" t="s">
        <v>283</v>
      </c>
      <c r="K348" s="9" t="s">
        <v>1696</v>
      </c>
      <c r="L348" s="9" t="s">
        <v>4338</v>
      </c>
      <c r="M348" s="9" t="s">
        <v>4339</v>
      </c>
      <c r="N348" s="8">
        <v>1</v>
      </c>
      <c r="O348" s="9" t="s">
        <v>4340</v>
      </c>
      <c r="P348" s="11">
        <v>99.94</v>
      </c>
      <c r="Q348" s="11">
        <v>110</v>
      </c>
      <c r="R348" s="11">
        <v>90</v>
      </c>
      <c r="S348" s="11">
        <v>1189.95</v>
      </c>
      <c r="T348" s="11">
        <v>118923.603</v>
      </c>
      <c r="U348" s="12">
        <v>0.05</v>
      </c>
      <c r="V348" s="12"/>
      <c r="W348" s="11"/>
      <c r="X348" s="9" t="s">
        <v>288</v>
      </c>
      <c r="Y348" s="10">
        <v>43732</v>
      </c>
      <c r="Z348" s="13">
        <v>0.1094</v>
      </c>
      <c r="AC348" s="9" t="s">
        <v>289</v>
      </c>
      <c r="AD348" s="9" t="s">
        <v>290</v>
      </c>
      <c r="AE348" s="8">
        <v>491.37657999999999</v>
      </c>
      <c r="AF348" s="14">
        <v>46.74736</v>
      </c>
      <c r="AG348" s="14">
        <v>-1.56741</v>
      </c>
      <c r="AH348" s="9" t="s">
        <v>3129</v>
      </c>
      <c r="AI348" s="15" t="s">
        <v>319</v>
      </c>
      <c r="AJ348" s="9" t="s">
        <v>293</v>
      </c>
      <c r="AK348" s="9" t="s">
        <v>3825</v>
      </c>
      <c r="AL348" s="9" t="s">
        <v>3826</v>
      </c>
      <c r="AM348" s="9"/>
      <c r="AN348" s="9" t="s">
        <v>3827</v>
      </c>
      <c r="AO348" s="9" t="s">
        <v>4341</v>
      </c>
      <c r="AP348" s="9" t="s">
        <v>3619</v>
      </c>
      <c r="AQ348" s="9" t="s">
        <v>3178</v>
      </c>
      <c r="AR348" t="b">
        <v>0</v>
      </c>
      <c r="AS348" s="10"/>
      <c r="AT348" s="10" t="s">
        <v>299</v>
      </c>
      <c r="AU348" s="9"/>
      <c r="AV348" t="b">
        <v>0</v>
      </c>
      <c r="AW348" s="12"/>
      <c r="AX348" s="11"/>
      <c r="AY348" s="9"/>
      <c r="AZ348" t="b">
        <v>0</v>
      </c>
      <c r="BA348" s="9"/>
      <c r="BB348" s="12"/>
      <c r="BC348" s="11"/>
      <c r="BD348" s="9" t="s">
        <v>300</v>
      </c>
      <c r="BE348" s="9" t="s">
        <v>86</v>
      </c>
      <c r="BF348" s="9" t="s">
        <v>402</v>
      </c>
      <c r="BG348" s="9" t="s">
        <v>529</v>
      </c>
      <c r="BH348" s="9" t="s">
        <v>304</v>
      </c>
      <c r="BI348" s="9" t="s">
        <v>3620</v>
      </c>
      <c r="BJ348" s="9" t="s">
        <v>3621</v>
      </c>
      <c r="BK348" s="11">
        <v>400</v>
      </c>
      <c r="BL348" s="16" t="s">
        <v>299</v>
      </c>
      <c r="BM348" s="10"/>
      <c r="BN348" s="10"/>
      <c r="BO348" s="10"/>
      <c r="BP348" s="16"/>
      <c r="BQ348" s="16"/>
      <c r="BR348" s="9"/>
      <c r="BS348" s="9"/>
      <c r="BT348" s="9"/>
      <c r="BU348" s="9"/>
      <c r="BV348" s="9"/>
      <c r="BW348" s="10"/>
      <c r="BX348" s="15" t="s">
        <v>2524</v>
      </c>
      <c r="BY348" s="10">
        <v>44516</v>
      </c>
      <c r="BZ348" s="10">
        <v>51820</v>
      </c>
      <c r="CA348" s="10">
        <v>44817</v>
      </c>
      <c r="CC348" s="9" t="s">
        <v>308</v>
      </c>
      <c r="CD348" s="9" t="s">
        <v>309</v>
      </c>
    </row>
    <row r="349" spans="1:82">
      <c r="A349" s="8">
        <v>11346</v>
      </c>
      <c r="B349" s="9" t="s">
        <v>4342</v>
      </c>
      <c r="C349" s="9" t="s">
        <v>3502</v>
      </c>
      <c r="D349" s="10">
        <v>44508</v>
      </c>
      <c r="E349" s="9" t="s">
        <v>4343</v>
      </c>
      <c r="F349" s="9" t="s">
        <v>4344</v>
      </c>
      <c r="G349" s="9" t="s">
        <v>4345</v>
      </c>
      <c r="H349" s="9" t="s">
        <v>281</v>
      </c>
      <c r="I349" s="9" t="s">
        <v>282</v>
      </c>
      <c r="J349" s="9" t="s">
        <v>283</v>
      </c>
      <c r="K349" s="9" t="s">
        <v>1696</v>
      </c>
      <c r="L349" s="9" t="s">
        <v>4346</v>
      </c>
      <c r="M349" s="9" t="s">
        <v>4347</v>
      </c>
      <c r="N349" s="8">
        <v>1</v>
      </c>
      <c r="O349" s="9" t="s">
        <v>4348</v>
      </c>
      <c r="P349" s="11">
        <v>99.9</v>
      </c>
      <c r="Q349" s="11">
        <v>88</v>
      </c>
      <c r="R349" s="11">
        <v>88</v>
      </c>
      <c r="S349" s="11">
        <v>1290.99</v>
      </c>
      <c r="T349" s="11">
        <v>128969.901</v>
      </c>
      <c r="U349" s="12">
        <v>1.9E-2</v>
      </c>
      <c r="V349" s="12"/>
      <c r="W349" s="11"/>
      <c r="X349" s="9" t="s">
        <v>288</v>
      </c>
      <c r="Y349" s="10">
        <v>43886</v>
      </c>
      <c r="Z349" s="13">
        <v>0.1051</v>
      </c>
      <c r="AC349" s="9" t="s">
        <v>289</v>
      </c>
      <c r="AD349" s="9" t="s">
        <v>290</v>
      </c>
      <c r="AE349" s="8">
        <v>504.45504</v>
      </c>
      <c r="AF349" s="14">
        <v>44.063589999999998</v>
      </c>
      <c r="AG349" s="14">
        <v>1.0040199999999999</v>
      </c>
      <c r="AH349" s="9" t="s">
        <v>3129</v>
      </c>
      <c r="AI349" s="15" t="s">
        <v>319</v>
      </c>
      <c r="AJ349" s="9" t="s">
        <v>293</v>
      </c>
      <c r="AK349" s="9" t="s">
        <v>4349</v>
      </c>
      <c r="AL349" s="9" t="s">
        <v>4103</v>
      </c>
      <c r="AM349" s="9"/>
      <c r="AN349" s="9" t="s">
        <v>4350</v>
      </c>
      <c r="AO349" s="9"/>
      <c r="AP349" s="9" t="s">
        <v>3133</v>
      </c>
      <c r="AQ349" s="9" t="s">
        <v>3512</v>
      </c>
      <c r="AR349" t="b">
        <v>0</v>
      </c>
      <c r="AS349" s="10"/>
      <c r="AT349" s="10" t="s">
        <v>299</v>
      </c>
      <c r="AU349" s="9"/>
      <c r="AW349" s="12"/>
      <c r="AX349" s="11"/>
      <c r="AY349" s="9"/>
      <c r="AZ349" t="b">
        <v>0</v>
      </c>
      <c r="BA349" s="9"/>
      <c r="BB349" s="12"/>
      <c r="BC349" s="11"/>
      <c r="BD349" s="9" t="s">
        <v>325</v>
      </c>
      <c r="BE349" s="9" t="s">
        <v>86</v>
      </c>
      <c r="BF349" s="9" t="s">
        <v>402</v>
      </c>
      <c r="BG349" s="9" t="s">
        <v>749</v>
      </c>
      <c r="BH349" s="9" t="s">
        <v>304</v>
      </c>
      <c r="BI349" s="9" t="s">
        <v>3513</v>
      </c>
      <c r="BJ349" s="9" t="s">
        <v>3514</v>
      </c>
      <c r="BK349" s="11">
        <v>400</v>
      </c>
      <c r="BL349" s="16" t="s">
        <v>299</v>
      </c>
      <c r="BM349" s="10"/>
      <c r="BN349" s="10">
        <v>45204.916666666664</v>
      </c>
      <c r="BO349" s="10"/>
      <c r="BP349" s="16"/>
      <c r="BQ349" s="16"/>
      <c r="BR349" s="9"/>
      <c r="BS349" s="9"/>
      <c r="BT349" s="9"/>
      <c r="BU349" s="9"/>
      <c r="BV349" s="9"/>
      <c r="BW349" s="10"/>
      <c r="BX349" s="15" t="s">
        <v>4009</v>
      </c>
      <c r="BY349" s="10">
        <v>44508</v>
      </c>
      <c r="BZ349" s="10">
        <v>51812</v>
      </c>
      <c r="CA349" s="10">
        <v>44782</v>
      </c>
      <c r="CC349" s="9" t="s">
        <v>308</v>
      </c>
      <c r="CD349" s="9" t="s">
        <v>309</v>
      </c>
    </row>
    <row r="350" spans="1:82">
      <c r="A350" s="8">
        <v>12288</v>
      </c>
      <c r="B350" s="9" t="s">
        <v>4351</v>
      </c>
      <c r="C350" s="9" t="s">
        <v>3502</v>
      </c>
      <c r="D350" s="10">
        <v>44504</v>
      </c>
      <c r="E350" s="9" t="s">
        <v>4352</v>
      </c>
      <c r="F350" s="9" t="s">
        <v>1498</v>
      </c>
      <c r="G350" s="9" t="s">
        <v>4118</v>
      </c>
      <c r="H350" s="9" t="s">
        <v>281</v>
      </c>
      <c r="I350" s="9" t="s">
        <v>282</v>
      </c>
      <c r="J350" s="9" t="s">
        <v>283</v>
      </c>
      <c r="K350" s="9" t="s">
        <v>1696</v>
      </c>
      <c r="L350" s="9" t="s">
        <v>4353</v>
      </c>
      <c r="M350" s="9" t="s">
        <v>4354</v>
      </c>
      <c r="N350" s="8">
        <v>1</v>
      </c>
      <c r="O350" s="9" t="s">
        <v>4355</v>
      </c>
      <c r="P350" s="11">
        <v>99.9</v>
      </c>
      <c r="Q350" s="11">
        <v>110</v>
      </c>
      <c r="R350" s="11">
        <v>87</v>
      </c>
      <c r="S350" s="11">
        <v>1311.62</v>
      </c>
      <c r="T350" s="11">
        <v>131030.838</v>
      </c>
      <c r="U350" s="12">
        <v>0.05</v>
      </c>
      <c r="V350" s="12"/>
      <c r="W350" s="11"/>
      <c r="X350" s="9" t="s">
        <v>288</v>
      </c>
      <c r="Y350" s="10">
        <v>43998</v>
      </c>
      <c r="Z350" s="13">
        <v>0.1051</v>
      </c>
      <c r="AC350" s="9" t="s">
        <v>289</v>
      </c>
      <c r="AD350" s="9" t="s">
        <v>290</v>
      </c>
      <c r="AE350" s="8">
        <v>491.85629999999998</v>
      </c>
      <c r="AF350" s="14">
        <v>45.345790000000001</v>
      </c>
      <c r="AG350" s="14">
        <v>2.0956399999999999</v>
      </c>
      <c r="AH350" s="9" t="s">
        <v>3129</v>
      </c>
      <c r="AI350" s="15" t="s">
        <v>319</v>
      </c>
      <c r="AJ350" s="9" t="s">
        <v>293</v>
      </c>
      <c r="AK350" s="9" t="s">
        <v>4356</v>
      </c>
      <c r="AL350" s="9" t="s">
        <v>4357</v>
      </c>
      <c r="AM350" s="9"/>
      <c r="AN350" s="9" t="s">
        <v>4358</v>
      </c>
      <c r="AO350" s="9"/>
      <c r="AP350" s="9" t="s">
        <v>597</v>
      </c>
      <c r="AQ350" s="9" t="s">
        <v>3134</v>
      </c>
      <c r="AR350" t="b">
        <v>0</v>
      </c>
      <c r="AS350" s="10"/>
      <c r="AT350" s="10" t="s">
        <v>299</v>
      </c>
      <c r="AU350" s="9"/>
      <c r="AW350" s="12"/>
      <c r="AX350" s="11"/>
      <c r="AY350" s="9"/>
      <c r="AZ350" t="b">
        <v>0</v>
      </c>
      <c r="BA350" s="9"/>
      <c r="BB350" s="12"/>
      <c r="BC350" s="11"/>
      <c r="BD350" s="9" t="s">
        <v>325</v>
      </c>
      <c r="BE350" s="9" t="s">
        <v>86</v>
      </c>
      <c r="BF350" s="9" t="s">
        <v>402</v>
      </c>
      <c r="BG350" s="9" t="s">
        <v>749</v>
      </c>
      <c r="BH350" s="9" t="s">
        <v>304</v>
      </c>
      <c r="BI350" s="9" t="s">
        <v>3513</v>
      </c>
      <c r="BJ350" s="9" t="s">
        <v>3514</v>
      </c>
      <c r="BK350" s="11">
        <v>400</v>
      </c>
      <c r="BL350" s="16" t="s">
        <v>299</v>
      </c>
      <c r="BM350" s="10"/>
      <c r="BN350" s="10">
        <v>45204.916666666664</v>
      </c>
      <c r="BO350" s="10"/>
      <c r="BP350" s="16"/>
      <c r="BQ350" s="16"/>
      <c r="BR350" s="9"/>
      <c r="BS350" s="9"/>
      <c r="BT350" s="9"/>
      <c r="BU350" s="9"/>
      <c r="BV350" s="9"/>
      <c r="BW350" s="10"/>
      <c r="BX350" s="15" t="s">
        <v>4359</v>
      </c>
      <c r="BY350" s="10">
        <v>44504</v>
      </c>
      <c r="BZ350" s="10">
        <v>51808</v>
      </c>
      <c r="CA350" s="10">
        <v>44782</v>
      </c>
      <c r="CC350" s="9" t="s">
        <v>308</v>
      </c>
      <c r="CD350" s="9" t="s">
        <v>309</v>
      </c>
    </row>
    <row r="351" spans="1:82">
      <c r="A351" s="8">
        <v>11367</v>
      </c>
      <c r="B351" s="9" t="s">
        <v>4360</v>
      </c>
      <c r="C351" s="9" t="s">
        <v>3502</v>
      </c>
      <c r="D351" s="10">
        <v>44503</v>
      </c>
      <c r="E351" s="9" t="s">
        <v>4361</v>
      </c>
      <c r="F351" s="9" t="s">
        <v>1034</v>
      </c>
      <c r="G351" s="9" t="s">
        <v>4362</v>
      </c>
      <c r="H351" s="9" t="s">
        <v>315</v>
      </c>
      <c r="I351" s="9" t="s">
        <v>282</v>
      </c>
      <c r="J351" s="9" t="s">
        <v>283</v>
      </c>
      <c r="K351" s="9" t="s">
        <v>1696</v>
      </c>
      <c r="L351" s="9" t="s">
        <v>4363</v>
      </c>
      <c r="M351" s="9" t="s">
        <v>4364</v>
      </c>
      <c r="N351" s="8">
        <v>1</v>
      </c>
      <c r="O351" s="9" t="s">
        <v>4365</v>
      </c>
      <c r="P351" s="11">
        <v>64.680000000000007</v>
      </c>
      <c r="Q351" s="11">
        <v>55</v>
      </c>
      <c r="R351" s="11">
        <v>99.68</v>
      </c>
      <c r="S351" s="11">
        <v>1275.42</v>
      </c>
      <c r="T351" s="11">
        <v>82494.165599999993</v>
      </c>
      <c r="U351" s="12">
        <v>0.05</v>
      </c>
      <c r="V351" s="12"/>
      <c r="W351" s="11"/>
      <c r="X351" s="9" t="s">
        <v>288</v>
      </c>
      <c r="Y351" s="10">
        <v>43857</v>
      </c>
      <c r="Z351" s="13">
        <v>0.1051</v>
      </c>
      <c r="AC351" s="9" t="s">
        <v>289</v>
      </c>
      <c r="AD351" s="9" t="s">
        <v>290</v>
      </c>
      <c r="AE351" s="8">
        <v>313.88314000000003</v>
      </c>
      <c r="AF351" s="14">
        <v>44.171300000000002</v>
      </c>
      <c r="AG351" s="14">
        <v>4.2099200000000003</v>
      </c>
      <c r="AH351" s="9" t="s">
        <v>3129</v>
      </c>
      <c r="AI351" s="15" t="s">
        <v>319</v>
      </c>
      <c r="AJ351" s="9" t="s">
        <v>293</v>
      </c>
      <c r="AK351" s="9" t="s">
        <v>4366</v>
      </c>
      <c r="AL351" s="9" t="s">
        <v>4367</v>
      </c>
      <c r="AM351" s="9"/>
      <c r="AN351" s="9" t="s">
        <v>4368</v>
      </c>
      <c r="AO351" s="9"/>
      <c r="AP351" s="9" t="s">
        <v>3792</v>
      </c>
      <c r="AQ351" s="9" t="s">
        <v>3178</v>
      </c>
      <c r="AR351" t="b">
        <v>0</v>
      </c>
      <c r="AS351" s="10"/>
      <c r="AT351" s="10" t="s">
        <v>299</v>
      </c>
      <c r="AU351" s="9" t="s">
        <v>2761</v>
      </c>
      <c r="AW351" s="12"/>
      <c r="AX351" s="11"/>
      <c r="AY351" s="9"/>
      <c r="AZ351" t="b">
        <v>0</v>
      </c>
      <c r="BA351" s="9"/>
      <c r="BB351" s="12"/>
      <c r="BC351" s="11"/>
      <c r="BD351" s="9" t="s">
        <v>300</v>
      </c>
      <c r="BE351" s="9" t="s">
        <v>86</v>
      </c>
      <c r="BF351" s="9" t="s">
        <v>402</v>
      </c>
      <c r="BG351" s="9" t="s">
        <v>967</v>
      </c>
      <c r="BH351" s="9" t="s">
        <v>304</v>
      </c>
      <c r="BI351" s="9" t="s">
        <v>3513</v>
      </c>
      <c r="BJ351" s="9" t="s">
        <v>3514</v>
      </c>
      <c r="BK351" s="11">
        <v>400</v>
      </c>
      <c r="BL351" s="16" t="s">
        <v>299</v>
      </c>
      <c r="BM351" s="10"/>
      <c r="BN351" s="10"/>
      <c r="BO351" s="10"/>
      <c r="BP351" s="16"/>
      <c r="BQ351" s="16"/>
      <c r="BR351" s="9" t="s">
        <v>4369</v>
      </c>
      <c r="BS351" s="9"/>
      <c r="BT351" s="9"/>
      <c r="BU351" s="9"/>
      <c r="BV351" s="9"/>
      <c r="BW351" s="10"/>
      <c r="BX351" s="15" t="s">
        <v>1126</v>
      </c>
      <c r="BY351" s="10">
        <v>44503</v>
      </c>
      <c r="BZ351" s="10">
        <v>51807</v>
      </c>
      <c r="CA351" s="10">
        <v>44985</v>
      </c>
      <c r="CC351" s="9" t="s">
        <v>308</v>
      </c>
      <c r="CD351" s="9" t="s">
        <v>309</v>
      </c>
    </row>
    <row r="352" spans="1:82" ht="29.1">
      <c r="A352" s="8">
        <v>11345</v>
      </c>
      <c r="B352" s="9" t="s">
        <v>4370</v>
      </c>
      <c r="C352" s="9" t="s">
        <v>3502</v>
      </c>
      <c r="D352" s="10">
        <v>44495</v>
      </c>
      <c r="E352" s="9" t="s">
        <v>4371</v>
      </c>
      <c r="F352" s="9" t="s">
        <v>4372</v>
      </c>
      <c r="G352" s="9" t="s">
        <v>4373</v>
      </c>
      <c r="H352" s="9" t="s">
        <v>281</v>
      </c>
      <c r="I352" s="9" t="s">
        <v>282</v>
      </c>
      <c r="J352" s="9" t="s">
        <v>283</v>
      </c>
      <c r="K352" s="9" t="s">
        <v>1696</v>
      </c>
      <c r="L352" s="9" t="s">
        <v>4374</v>
      </c>
      <c r="M352" s="9" t="s">
        <v>4375</v>
      </c>
      <c r="N352" s="8">
        <v>1</v>
      </c>
      <c r="O352" s="9" t="s">
        <v>4376</v>
      </c>
      <c r="P352" s="11">
        <v>99.9</v>
      </c>
      <c r="Q352" s="11">
        <v>88</v>
      </c>
      <c r="R352" s="11">
        <v>88</v>
      </c>
      <c r="S352" s="11">
        <v>1089.0899999999999</v>
      </c>
      <c r="T352" s="11">
        <v>108800.091</v>
      </c>
      <c r="U352" s="12">
        <v>6.0999999999999999E-2</v>
      </c>
      <c r="V352" s="12"/>
      <c r="W352" s="11"/>
      <c r="X352" s="9" t="s">
        <v>288</v>
      </c>
      <c r="Y352" s="10">
        <v>43938</v>
      </c>
      <c r="Z352" s="13">
        <v>0.1051</v>
      </c>
      <c r="AC352" s="9" t="s">
        <v>289</v>
      </c>
      <c r="AD352" s="9" t="s">
        <v>290</v>
      </c>
      <c r="AE352" s="8">
        <v>491.85629999999998</v>
      </c>
      <c r="AF352" s="14">
        <v>43.188479999999998</v>
      </c>
      <c r="AG352" s="14">
        <v>-0.55476000000000003</v>
      </c>
      <c r="AH352" s="9" t="s">
        <v>3129</v>
      </c>
      <c r="AI352" s="15" t="s">
        <v>319</v>
      </c>
      <c r="AJ352" s="9" t="s">
        <v>293</v>
      </c>
      <c r="AK352" s="9" t="s">
        <v>4377</v>
      </c>
      <c r="AL352" s="9" t="s">
        <v>4378</v>
      </c>
      <c r="AM352" s="9"/>
      <c r="AN352" s="9" t="s">
        <v>4379</v>
      </c>
      <c r="AO352" s="9"/>
      <c r="AP352" s="9" t="s">
        <v>3133</v>
      </c>
      <c r="AQ352" s="9" t="s">
        <v>3512</v>
      </c>
      <c r="AR352" t="b">
        <v>0</v>
      </c>
      <c r="AS352" s="10"/>
      <c r="AT352" s="10" t="s">
        <v>299</v>
      </c>
      <c r="AU352" s="9"/>
      <c r="AW352" s="12"/>
      <c r="AX352" s="11"/>
      <c r="AY352" s="9"/>
      <c r="AZ352" t="b">
        <v>0</v>
      </c>
      <c r="BA352" s="9"/>
      <c r="BB352" s="12"/>
      <c r="BC352" s="11"/>
      <c r="BD352" s="9" t="s">
        <v>325</v>
      </c>
      <c r="BE352" s="9" t="s">
        <v>86</v>
      </c>
      <c r="BF352" s="9" t="s">
        <v>402</v>
      </c>
      <c r="BG352" s="9" t="s">
        <v>749</v>
      </c>
      <c r="BH352" s="9" t="s">
        <v>304</v>
      </c>
      <c r="BI352" s="9" t="s">
        <v>3513</v>
      </c>
      <c r="BJ352" s="9" t="s">
        <v>3514</v>
      </c>
      <c r="BK352" s="11">
        <v>400</v>
      </c>
      <c r="BL352" s="16" t="s">
        <v>299</v>
      </c>
      <c r="BM352" s="10"/>
      <c r="BN352" s="10">
        <v>45204.916666666664</v>
      </c>
      <c r="BO352" s="10"/>
      <c r="BP352" s="16"/>
      <c r="BQ352" s="16"/>
      <c r="BR352" s="9"/>
      <c r="BS352" s="9"/>
      <c r="BT352" s="9"/>
      <c r="BU352" s="9"/>
      <c r="BV352" s="9"/>
      <c r="BW352" s="10"/>
      <c r="BX352" s="15" t="s">
        <v>4380</v>
      </c>
      <c r="BY352" s="10">
        <v>44495</v>
      </c>
      <c r="BZ352" s="10">
        <v>51799</v>
      </c>
      <c r="CA352" s="10">
        <v>44782</v>
      </c>
      <c r="CC352" s="9" t="s">
        <v>308</v>
      </c>
      <c r="CD352" s="9" t="s">
        <v>309</v>
      </c>
    </row>
    <row r="353" spans="1:82">
      <c r="A353" s="8">
        <v>12187</v>
      </c>
      <c r="B353" s="9" t="s">
        <v>4381</v>
      </c>
      <c r="C353" s="9" t="s">
        <v>3502</v>
      </c>
      <c r="D353" s="10">
        <v>44488</v>
      </c>
      <c r="E353" s="9" t="s">
        <v>4382</v>
      </c>
      <c r="F353" s="9" t="s">
        <v>4383</v>
      </c>
      <c r="G353" s="9" t="s">
        <v>4384</v>
      </c>
      <c r="H353" s="9" t="s">
        <v>281</v>
      </c>
      <c r="I353" s="9" t="s">
        <v>282</v>
      </c>
      <c r="J353" s="9" t="s">
        <v>283</v>
      </c>
      <c r="K353" s="9" t="s">
        <v>1696</v>
      </c>
      <c r="L353" s="9" t="s">
        <v>4385</v>
      </c>
      <c r="M353" s="9" t="s">
        <v>4386</v>
      </c>
      <c r="N353" s="8">
        <v>1</v>
      </c>
      <c r="O353" s="9" t="s">
        <v>4387</v>
      </c>
      <c r="P353" s="11">
        <v>99.9</v>
      </c>
      <c r="Q353" s="11">
        <v>88</v>
      </c>
      <c r="R353" s="11">
        <v>99.68</v>
      </c>
      <c r="S353" s="11">
        <v>1262.46</v>
      </c>
      <c r="T353" s="11">
        <v>126119.754</v>
      </c>
      <c r="U353" s="12">
        <v>1.9E-2</v>
      </c>
      <c r="V353" s="12"/>
      <c r="W353" s="11"/>
      <c r="X353" s="9" t="s">
        <v>288</v>
      </c>
      <c r="Y353" s="10">
        <v>43917</v>
      </c>
      <c r="Z353" s="13">
        <v>0.1051</v>
      </c>
      <c r="AC353" s="9" t="s">
        <v>289</v>
      </c>
      <c r="AD353" s="9" t="s">
        <v>290</v>
      </c>
      <c r="AE353" s="8">
        <v>491.85629999999998</v>
      </c>
      <c r="AF353" s="14">
        <v>43.64584</v>
      </c>
      <c r="AG353" s="14">
        <v>3.5135200000000002</v>
      </c>
      <c r="AH353" s="9" t="s">
        <v>3129</v>
      </c>
      <c r="AI353" s="15" t="s">
        <v>319</v>
      </c>
      <c r="AJ353" s="9" t="s">
        <v>293</v>
      </c>
      <c r="AK353" s="9" t="s">
        <v>4388</v>
      </c>
      <c r="AL353" s="9" t="s">
        <v>4389</v>
      </c>
      <c r="AM353" s="9"/>
      <c r="AN353" s="9" t="s">
        <v>4390</v>
      </c>
      <c r="AO353" s="9"/>
      <c r="AP353" s="9" t="s">
        <v>3133</v>
      </c>
      <c r="AQ353" s="9" t="s">
        <v>3512</v>
      </c>
      <c r="AR353" t="b">
        <v>0</v>
      </c>
      <c r="AS353" s="10"/>
      <c r="AT353" s="10" t="s">
        <v>299</v>
      </c>
      <c r="AU353" s="9"/>
      <c r="AW353" s="12"/>
      <c r="AX353" s="11"/>
      <c r="AY353" s="9"/>
      <c r="AZ353" t="b">
        <v>0</v>
      </c>
      <c r="BA353" s="9"/>
      <c r="BB353" s="12"/>
      <c r="BC353" s="11"/>
      <c r="BD353" s="9" t="s">
        <v>325</v>
      </c>
      <c r="BE353" s="9" t="s">
        <v>86</v>
      </c>
      <c r="BF353" s="9" t="s">
        <v>402</v>
      </c>
      <c r="BG353" s="9" t="s">
        <v>738</v>
      </c>
      <c r="BH353" s="9" t="s">
        <v>304</v>
      </c>
      <c r="BI353" s="9" t="s">
        <v>3513</v>
      </c>
      <c r="BJ353" s="9" t="s">
        <v>3514</v>
      </c>
      <c r="BK353" s="11">
        <v>400</v>
      </c>
      <c r="BL353" s="16" t="s">
        <v>299</v>
      </c>
      <c r="BM353" s="10"/>
      <c r="BN353" s="10">
        <v>45204.916666666664</v>
      </c>
      <c r="BO353" s="10"/>
      <c r="BP353" s="16"/>
      <c r="BQ353" s="16"/>
      <c r="BR353" s="9"/>
      <c r="BS353" s="9"/>
      <c r="BT353" s="9"/>
      <c r="BU353" s="9"/>
      <c r="BV353" s="9"/>
      <c r="BW353" s="10"/>
      <c r="BX353" s="15" t="s">
        <v>1126</v>
      </c>
      <c r="BY353" s="10">
        <v>44488</v>
      </c>
      <c r="BZ353" s="10">
        <v>51792</v>
      </c>
      <c r="CA353" s="10">
        <v>44958</v>
      </c>
      <c r="CC353" s="9" t="s">
        <v>308</v>
      </c>
      <c r="CD353" s="9" t="s">
        <v>309</v>
      </c>
    </row>
    <row r="354" spans="1:82">
      <c r="A354" s="8">
        <v>79225</v>
      </c>
      <c r="B354" s="9" t="s">
        <v>4391</v>
      </c>
      <c r="C354" s="9" t="s">
        <v>3609</v>
      </c>
      <c r="D354" s="10">
        <v>44475</v>
      </c>
      <c r="E354" s="9" t="s">
        <v>4392</v>
      </c>
      <c r="F354" s="9" t="s">
        <v>4393</v>
      </c>
      <c r="G354" s="9" t="s">
        <v>4394</v>
      </c>
      <c r="H354" s="9" t="s">
        <v>315</v>
      </c>
      <c r="I354" s="9" t="s">
        <v>282</v>
      </c>
      <c r="J354" s="9" t="s">
        <v>283</v>
      </c>
      <c r="K354" s="9" t="s">
        <v>1696</v>
      </c>
      <c r="L354" s="9" t="s">
        <v>4395</v>
      </c>
      <c r="M354" s="9" t="s">
        <v>4396</v>
      </c>
      <c r="N354" s="8">
        <v>1</v>
      </c>
      <c r="O354" s="9" t="s">
        <v>4397</v>
      </c>
      <c r="P354" s="11">
        <v>99.94</v>
      </c>
      <c r="Q354" s="11">
        <v>110</v>
      </c>
      <c r="R354" s="11">
        <v>90</v>
      </c>
      <c r="S354" s="11">
        <v>1196.8499999999999</v>
      </c>
      <c r="T354" s="11">
        <v>119613.189</v>
      </c>
      <c r="U354" s="12">
        <v>0.05</v>
      </c>
      <c r="V354" s="12"/>
      <c r="W354" s="11"/>
      <c r="X354" s="9" t="s">
        <v>288</v>
      </c>
      <c r="Y354" s="10">
        <v>43917</v>
      </c>
      <c r="Z354" s="13">
        <v>0.1051</v>
      </c>
      <c r="AC354" s="9" t="s">
        <v>1754</v>
      </c>
      <c r="AD354" s="9" t="s">
        <v>1755</v>
      </c>
      <c r="AE354" s="8">
        <v>491.37657999999999</v>
      </c>
      <c r="AF354" s="14">
        <v>46.603839999999998</v>
      </c>
      <c r="AG354" s="14">
        <v>-0.53125</v>
      </c>
      <c r="AH354" s="9" t="s">
        <v>3129</v>
      </c>
      <c r="AI354" s="15" t="s">
        <v>319</v>
      </c>
      <c r="AJ354" s="9" t="s">
        <v>293</v>
      </c>
      <c r="AK354" s="9" t="s">
        <v>4398</v>
      </c>
      <c r="AL354" s="9" t="s">
        <v>4399</v>
      </c>
      <c r="AM354" s="9"/>
      <c r="AN354" s="9" t="s">
        <v>4400</v>
      </c>
      <c r="AO354" s="9" t="s">
        <v>4401</v>
      </c>
      <c r="AP354" s="9" t="s">
        <v>3619</v>
      </c>
      <c r="AQ354" s="9" t="s">
        <v>3178</v>
      </c>
      <c r="AR354" t="b">
        <v>1</v>
      </c>
      <c r="AS354" s="10">
        <v>44475</v>
      </c>
      <c r="AT354" s="10">
        <v>45936</v>
      </c>
      <c r="AU354" s="9" t="s">
        <v>1139</v>
      </c>
      <c r="AW354" s="12"/>
      <c r="AX354" s="11">
        <v>1605</v>
      </c>
      <c r="AY354" s="9" t="s">
        <v>471</v>
      </c>
      <c r="AZ354" t="b">
        <v>1</v>
      </c>
      <c r="BA354" s="9" t="s">
        <v>242</v>
      </c>
      <c r="BB354" s="12">
        <v>0.1</v>
      </c>
      <c r="BC354" s="11"/>
      <c r="BD354" s="9" t="s">
        <v>300</v>
      </c>
      <c r="BE354" s="9" t="s">
        <v>86</v>
      </c>
      <c r="BF354" s="9" t="s">
        <v>402</v>
      </c>
      <c r="BG354" s="9" t="s">
        <v>529</v>
      </c>
      <c r="BH354" s="9" t="s">
        <v>304</v>
      </c>
      <c r="BI354" s="9" t="s">
        <v>3620</v>
      </c>
      <c r="BJ354" s="9" t="s">
        <v>3621</v>
      </c>
      <c r="BK354" s="11">
        <v>400</v>
      </c>
      <c r="BL354" s="16" t="s">
        <v>299</v>
      </c>
      <c r="BM354" s="10"/>
      <c r="BN354" s="10"/>
      <c r="BO354" s="10"/>
      <c r="BP354" s="16"/>
      <c r="BQ354" s="16"/>
      <c r="BR354" s="9" t="s">
        <v>4398</v>
      </c>
      <c r="BS354" s="9" t="s">
        <v>4402</v>
      </c>
      <c r="BT354" s="9" t="s">
        <v>4403</v>
      </c>
      <c r="BU354" s="9" t="s">
        <v>4393</v>
      </c>
      <c r="BV354" s="9"/>
      <c r="BW354" s="10"/>
      <c r="BX354" s="15" t="s">
        <v>1595</v>
      </c>
      <c r="BY354" s="10">
        <v>44475</v>
      </c>
      <c r="BZ354" s="10">
        <v>51780</v>
      </c>
      <c r="CA354" s="10">
        <v>44530</v>
      </c>
      <c r="CC354" s="9" t="s">
        <v>308</v>
      </c>
      <c r="CD354" s="9" t="s">
        <v>309</v>
      </c>
    </row>
    <row r="355" spans="1:82">
      <c r="A355" s="8">
        <v>79220</v>
      </c>
      <c r="B355" s="9" t="s">
        <v>4404</v>
      </c>
      <c r="C355" s="9" t="s">
        <v>3609</v>
      </c>
      <c r="D355" s="10">
        <v>44469</v>
      </c>
      <c r="E355" s="9" t="s">
        <v>4337</v>
      </c>
      <c r="F355" s="9" t="s">
        <v>921</v>
      </c>
      <c r="G355" s="9" t="s">
        <v>3821</v>
      </c>
      <c r="H355" s="9" t="s">
        <v>315</v>
      </c>
      <c r="I355" s="9" t="s">
        <v>282</v>
      </c>
      <c r="J355" s="9" t="s">
        <v>283</v>
      </c>
      <c r="K355" s="9" t="s">
        <v>1696</v>
      </c>
      <c r="L355" s="9" t="s">
        <v>4405</v>
      </c>
      <c r="M355" s="9" t="s">
        <v>4406</v>
      </c>
      <c r="N355" s="8">
        <v>1</v>
      </c>
      <c r="O355" s="9" t="s">
        <v>4407</v>
      </c>
      <c r="P355" s="11">
        <v>99.775000000000006</v>
      </c>
      <c r="Q355" s="11">
        <v>110</v>
      </c>
      <c r="R355" s="11">
        <v>90</v>
      </c>
      <c r="S355" s="11">
        <v>1265.9100000000001</v>
      </c>
      <c r="T355" s="11">
        <v>126306.17025</v>
      </c>
      <c r="U355" s="12">
        <v>0.05</v>
      </c>
      <c r="V355" s="12"/>
      <c r="W355" s="11"/>
      <c r="X355" s="9" t="s">
        <v>288</v>
      </c>
      <c r="Y355" s="10">
        <v>43732</v>
      </c>
      <c r="Z355" s="13">
        <v>0.1094</v>
      </c>
      <c r="AC355" s="9" t="s">
        <v>289</v>
      </c>
      <c r="AD355" s="9" t="s">
        <v>290</v>
      </c>
      <c r="AE355" s="8">
        <v>490.52276000000001</v>
      </c>
      <c r="AF355" s="14">
        <v>46.74671</v>
      </c>
      <c r="AG355" s="14">
        <v>-1.5660099999999999</v>
      </c>
      <c r="AH355" s="9" t="s">
        <v>3129</v>
      </c>
      <c r="AI355" s="15" t="s">
        <v>319</v>
      </c>
      <c r="AJ355" s="9" t="s">
        <v>293</v>
      </c>
      <c r="AK355" s="9" t="s">
        <v>3825</v>
      </c>
      <c r="AL355" s="9" t="s">
        <v>3826</v>
      </c>
      <c r="AM355" s="9"/>
      <c r="AN355" s="9" t="s">
        <v>3827</v>
      </c>
      <c r="AO355" s="9"/>
      <c r="AP355" s="9" t="s">
        <v>3619</v>
      </c>
      <c r="AQ355" s="9" t="s">
        <v>3178</v>
      </c>
      <c r="AR355" t="b">
        <v>1</v>
      </c>
      <c r="AS355" s="10">
        <v>44469</v>
      </c>
      <c r="AT355" s="10">
        <v>45930</v>
      </c>
      <c r="AU355" s="9" t="s">
        <v>1139</v>
      </c>
      <c r="AV355" t="b">
        <v>1</v>
      </c>
      <c r="AW355" s="12"/>
      <c r="AX355" s="11">
        <v>2000</v>
      </c>
      <c r="AY355" s="9" t="s">
        <v>471</v>
      </c>
      <c r="AZ355" t="b">
        <v>1</v>
      </c>
      <c r="BA355" s="9" t="s">
        <v>242</v>
      </c>
      <c r="BB355" s="12">
        <v>0.1</v>
      </c>
      <c r="BC355" s="11"/>
      <c r="BD355" s="9" t="s">
        <v>300</v>
      </c>
      <c r="BE355" s="9" t="s">
        <v>86</v>
      </c>
      <c r="BF355" s="9" t="s">
        <v>402</v>
      </c>
      <c r="BG355" s="9" t="s">
        <v>529</v>
      </c>
      <c r="BH355" s="9" t="s">
        <v>304</v>
      </c>
      <c r="BI355" s="9" t="s">
        <v>3620</v>
      </c>
      <c r="BJ355" s="9" t="s">
        <v>3621</v>
      </c>
      <c r="BK355" s="11">
        <v>400</v>
      </c>
      <c r="BL355" s="16" t="s">
        <v>299</v>
      </c>
      <c r="BM355" s="10"/>
      <c r="BN355" s="10"/>
      <c r="BO355" s="10"/>
      <c r="BP355" s="16"/>
      <c r="BQ355" s="16"/>
      <c r="BR355" s="9" t="s">
        <v>4408</v>
      </c>
      <c r="BS355" s="9" t="s">
        <v>3820</v>
      </c>
      <c r="BT355" s="9" t="s">
        <v>3829</v>
      </c>
      <c r="BU355" s="9" t="s">
        <v>921</v>
      </c>
      <c r="BV355" s="9"/>
      <c r="BW355" s="10"/>
      <c r="BX355" s="15" t="s">
        <v>3713</v>
      </c>
      <c r="BY355" s="10">
        <v>44469</v>
      </c>
      <c r="BZ355" s="10">
        <v>51773</v>
      </c>
      <c r="CA355" s="10">
        <v>45008</v>
      </c>
      <c r="CC355" s="9" t="s">
        <v>308</v>
      </c>
      <c r="CD355" s="9" t="s">
        <v>309</v>
      </c>
    </row>
    <row r="356" spans="1:82">
      <c r="A356" s="8">
        <v>12287</v>
      </c>
      <c r="B356" s="9" t="s">
        <v>4409</v>
      </c>
      <c r="C356" s="9" t="s">
        <v>3797</v>
      </c>
      <c r="D356" s="10">
        <v>44468</v>
      </c>
      <c r="E356" s="9" t="s">
        <v>4410</v>
      </c>
      <c r="F356" s="9" t="s">
        <v>4411</v>
      </c>
      <c r="G356" s="9" t="s">
        <v>4412</v>
      </c>
      <c r="H356" s="9" t="s">
        <v>281</v>
      </c>
      <c r="I356" s="9" t="s">
        <v>282</v>
      </c>
      <c r="J356" s="9" t="s">
        <v>283</v>
      </c>
      <c r="K356" s="9" t="s">
        <v>1696</v>
      </c>
      <c r="L356" s="9" t="s">
        <v>4413</v>
      </c>
      <c r="M356" s="9" t="s">
        <v>4414</v>
      </c>
      <c r="N356" s="8">
        <v>1</v>
      </c>
      <c r="O356" s="9" t="s">
        <v>4415</v>
      </c>
      <c r="P356" s="11">
        <v>99.9</v>
      </c>
      <c r="Q356" s="11">
        <v>90</v>
      </c>
      <c r="R356" s="11">
        <v>89</v>
      </c>
      <c r="S356" s="11">
        <v>1195.5999999999999</v>
      </c>
      <c r="T356" s="11">
        <v>119440.44</v>
      </c>
      <c r="U356" s="12">
        <v>5.5E-2</v>
      </c>
      <c r="V356" s="12"/>
      <c r="W356" s="11"/>
      <c r="X356" s="9" t="s">
        <v>288</v>
      </c>
      <c r="Y356" s="10">
        <v>43985</v>
      </c>
      <c r="Z356" s="13">
        <v>0.1051</v>
      </c>
      <c r="AC356" s="9" t="s">
        <v>289</v>
      </c>
      <c r="AD356" s="9" t="s">
        <v>290</v>
      </c>
      <c r="AE356" s="8">
        <v>491.85629999999998</v>
      </c>
      <c r="AF356" s="14">
        <v>45.72634</v>
      </c>
      <c r="AG356" s="14">
        <v>-0.57962000000000002</v>
      </c>
      <c r="AH356" s="9" t="s">
        <v>3129</v>
      </c>
      <c r="AI356" s="15" t="s">
        <v>319</v>
      </c>
      <c r="AJ356" s="9" t="s">
        <v>293</v>
      </c>
      <c r="AK356" s="9" t="s">
        <v>4416</v>
      </c>
      <c r="AL356" s="9" t="s">
        <v>4417</v>
      </c>
      <c r="AM356" s="9"/>
      <c r="AN356" s="9" t="s">
        <v>4418</v>
      </c>
      <c r="AO356" s="9"/>
      <c r="AP356" s="9" t="s">
        <v>597</v>
      </c>
      <c r="AQ356" s="9" t="s">
        <v>3134</v>
      </c>
      <c r="AR356" t="b">
        <v>0</v>
      </c>
      <c r="AS356" s="10"/>
      <c r="AT356" s="10" t="s">
        <v>299</v>
      </c>
      <c r="AU356" s="9"/>
      <c r="AW356" s="12"/>
      <c r="AX356" s="11"/>
      <c r="AY356" s="9"/>
      <c r="AZ356" t="b">
        <v>0</v>
      </c>
      <c r="BA356" s="9"/>
      <c r="BB356" s="12"/>
      <c r="BC356" s="11"/>
      <c r="BD356" s="9" t="s">
        <v>325</v>
      </c>
      <c r="BE356" s="9" t="s">
        <v>47</v>
      </c>
      <c r="BF356" s="9" t="s">
        <v>690</v>
      </c>
      <c r="BG356" s="9" t="s">
        <v>749</v>
      </c>
      <c r="BH356" s="9" t="s">
        <v>304</v>
      </c>
      <c r="BI356" s="9" t="s">
        <v>3802</v>
      </c>
      <c r="BJ356" s="9" t="s">
        <v>3803</v>
      </c>
      <c r="BK356" s="11">
        <v>400</v>
      </c>
      <c r="BL356" s="16" t="s">
        <v>299</v>
      </c>
      <c r="BM356" s="10"/>
      <c r="BN356" s="10">
        <v>45204.916666666664</v>
      </c>
      <c r="BO356" s="10"/>
      <c r="BP356" s="16"/>
      <c r="BQ356" s="16"/>
      <c r="BR356" s="9" t="s">
        <v>4419</v>
      </c>
      <c r="BS356" s="9" t="s">
        <v>4420</v>
      </c>
      <c r="BT356" s="9" t="s">
        <v>4421</v>
      </c>
      <c r="BU356" s="9" t="s">
        <v>4411</v>
      </c>
      <c r="BV356" s="9"/>
      <c r="BW356" s="10">
        <v>55425</v>
      </c>
      <c r="BX356" s="15" t="s">
        <v>4422</v>
      </c>
      <c r="BY356" s="10">
        <v>44468</v>
      </c>
      <c r="BZ356" s="10">
        <v>51772</v>
      </c>
      <c r="CA356" s="10">
        <v>44837</v>
      </c>
      <c r="CC356" s="9" t="s">
        <v>308</v>
      </c>
      <c r="CD356" s="9" t="s">
        <v>309</v>
      </c>
    </row>
    <row r="357" spans="1:82">
      <c r="A357" s="8">
        <v>11336</v>
      </c>
      <c r="B357" s="9" t="s">
        <v>4423</v>
      </c>
      <c r="C357" s="9" t="s">
        <v>3502</v>
      </c>
      <c r="D357" s="10">
        <v>44462</v>
      </c>
      <c r="E357" s="9" t="s">
        <v>4424</v>
      </c>
      <c r="F357" s="9" t="s">
        <v>4425</v>
      </c>
      <c r="G357" s="9" t="s">
        <v>4426</v>
      </c>
      <c r="H357" s="9" t="s">
        <v>281</v>
      </c>
      <c r="I357" s="9" t="s">
        <v>282</v>
      </c>
      <c r="J357" s="9" t="s">
        <v>283</v>
      </c>
      <c r="K357" s="9" t="s">
        <v>1696</v>
      </c>
      <c r="L357" s="9" t="s">
        <v>4427</v>
      </c>
      <c r="M357" s="9" t="s">
        <v>4428</v>
      </c>
      <c r="N357" s="8">
        <v>1</v>
      </c>
      <c r="O357" s="9" t="s">
        <v>4429</v>
      </c>
      <c r="P357" s="11">
        <v>99.9</v>
      </c>
      <c r="Q357" s="11">
        <v>88</v>
      </c>
      <c r="R357" s="11">
        <v>87</v>
      </c>
      <c r="S357" s="11">
        <v>1194.69</v>
      </c>
      <c r="T357" s="11">
        <v>119349.531</v>
      </c>
      <c r="U357" s="12">
        <v>1.9E-2</v>
      </c>
      <c r="V357" s="12"/>
      <c r="W357" s="11"/>
      <c r="X357" s="9" t="s">
        <v>288</v>
      </c>
      <c r="Y357" s="10">
        <v>43957</v>
      </c>
      <c r="Z357" s="13">
        <v>0.1051</v>
      </c>
      <c r="AC357" s="9" t="s">
        <v>289</v>
      </c>
      <c r="AD357" s="9" t="s">
        <v>290</v>
      </c>
      <c r="AE357" s="8">
        <v>491.85629999999998</v>
      </c>
      <c r="AF357" s="14">
        <v>44.399389999999997</v>
      </c>
      <c r="AG357" s="14">
        <v>0.22081999999999999</v>
      </c>
      <c r="AH357" s="9" t="s">
        <v>3129</v>
      </c>
      <c r="AI357" s="15" t="s">
        <v>319</v>
      </c>
      <c r="AJ357" s="9" t="s">
        <v>293</v>
      </c>
      <c r="AK357" s="9" t="s">
        <v>4430</v>
      </c>
      <c r="AL357" s="9" t="s">
        <v>4431</v>
      </c>
      <c r="AM357" s="9"/>
      <c r="AN357" s="9" t="s">
        <v>4432</v>
      </c>
      <c r="AO357" s="9"/>
      <c r="AP357" s="9" t="s">
        <v>3133</v>
      </c>
      <c r="AQ357" s="9" t="s">
        <v>3134</v>
      </c>
      <c r="AR357" t="b">
        <v>0</v>
      </c>
      <c r="AS357" s="10"/>
      <c r="AT357" s="10" t="s">
        <v>299</v>
      </c>
      <c r="AU357" s="9"/>
      <c r="AW357" s="12"/>
      <c r="AX357" s="11"/>
      <c r="AY357" s="9"/>
      <c r="AZ357" t="b">
        <v>0</v>
      </c>
      <c r="BA357" s="9"/>
      <c r="BB357" s="12"/>
      <c r="BC357" s="11"/>
      <c r="BD357" s="9" t="s">
        <v>325</v>
      </c>
      <c r="BE357" s="9" t="s">
        <v>86</v>
      </c>
      <c r="BF357" s="9" t="s">
        <v>690</v>
      </c>
      <c r="BG357" s="9" t="s">
        <v>749</v>
      </c>
      <c r="BH357" s="9" t="s">
        <v>304</v>
      </c>
      <c r="BI357" s="9" t="s">
        <v>3513</v>
      </c>
      <c r="BJ357" s="9" t="s">
        <v>3514</v>
      </c>
      <c r="BK357" s="11">
        <v>400</v>
      </c>
      <c r="BL357" s="16" t="s">
        <v>299</v>
      </c>
      <c r="BM357" s="10"/>
      <c r="BN357" s="10"/>
      <c r="BO357" s="10"/>
      <c r="BP357" s="16"/>
      <c r="BQ357" s="16"/>
      <c r="BR357" s="9"/>
      <c r="BS357" s="9"/>
      <c r="BT357" s="9"/>
      <c r="BU357" s="9"/>
      <c r="BV357" s="9"/>
      <c r="BW357" s="10"/>
      <c r="BX357" s="15" t="s">
        <v>1126</v>
      </c>
      <c r="BY357" s="10">
        <v>44462</v>
      </c>
      <c r="BZ357" s="10">
        <v>51766</v>
      </c>
      <c r="CA357" s="10">
        <v>44552</v>
      </c>
      <c r="CC357" s="9" t="s">
        <v>308</v>
      </c>
      <c r="CD357" s="9" t="s">
        <v>309</v>
      </c>
    </row>
    <row r="358" spans="1:82">
      <c r="A358" s="8">
        <v>11338</v>
      </c>
      <c r="B358" s="9" t="s">
        <v>1496</v>
      </c>
      <c r="C358" s="9" t="s">
        <v>3502</v>
      </c>
      <c r="D358" s="10">
        <v>44455</v>
      </c>
      <c r="E358" s="9" t="s">
        <v>4433</v>
      </c>
      <c r="F358" s="9" t="s">
        <v>1498</v>
      </c>
      <c r="G358" s="9" t="s">
        <v>4434</v>
      </c>
      <c r="H358" s="9" t="s">
        <v>281</v>
      </c>
      <c r="I358" s="9" t="s">
        <v>282</v>
      </c>
      <c r="J358" s="9" t="s">
        <v>283</v>
      </c>
      <c r="K358" s="9" t="s">
        <v>1696</v>
      </c>
      <c r="L358" s="9" t="s">
        <v>4435</v>
      </c>
      <c r="M358" s="9" t="s">
        <v>4436</v>
      </c>
      <c r="N358" s="8">
        <v>1</v>
      </c>
      <c r="O358" s="9" t="s">
        <v>4437</v>
      </c>
      <c r="P358" s="11">
        <v>99.9</v>
      </c>
      <c r="Q358" s="11">
        <v>88</v>
      </c>
      <c r="R358" s="11">
        <v>87</v>
      </c>
      <c r="S358" s="11">
        <v>1173.27</v>
      </c>
      <c r="T358" s="11">
        <v>117209.673</v>
      </c>
      <c r="U358" s="12">
        <v>5.8999999999999997E-2</v>
      </c>
      <c r="V358" s="12"/>
      <c r="W358" s="11"/>
      <c r="X358" s="9" t="s">
        <v>288</v>
      </c>
      <c r="Y358" s="10">
        <v>43956</v>
      </c>
      <c r="Z358" s="13">
        <v>0.1051</v>
      </c>
      <c r="AC358" s="9" t="s">
        <v>289</v>
      </c>
      <c r="AD358" s="9" t="s">
        <v>290</v>
      </c>
      <c r="AE358" s="8">
        <v>492</v>
      </c>
      <c r="AF358" s="14">
        <v>45.295340000000003</v>
      </c>
      <c r="AG358" s="14">
        <v>2.1744500000000002</v>
      </c>
      <c r="AH358" s="9" t="s">
        <v>3129</v>
      </c>
      <c r="AI358" s="15" t="s">
        <v>319</v>
      </c>
      <c r="AJ358" s="9" t="s">
        <v>293</v>
      </c>
      <c r="AK358" s="9" t="s">
        <v>1504</v>
      </c>
      <c r="AL358" s="9" t="s">
        <v>4438</v>
      </c>
      <c r="AM358" s="9"/>
      <c r="AN358" s="9" t="s">
        <v>4439</v>
      </c>
      <c r="AO358" s="9"/>
      <c r="AP358" s="9" t="s">
        <v>597</v>
      </c>
      <c r="AQ358" s="9" t="s">
        <v>3134</v>
      </c>
      <c r="AR358" t="b">
        <v>0</v>
      </c>
      <c r="AS358" s="10"/>
      <c r="AT358" s="10" t="s">
        <v>299</v>
      </c>
      <c r="AU358" s="9"/>
      <c r="AW358" s="12"/>
      <c r="AX358" s="11"/>
      <c r="AY358" s="9"/>
      <c r="AZ358" t="b">
        <v>0</v>
      </c>
      <c r="BA358" s="9"/>
      <c r="BB358" s="12"/>
      <c r="BC358" s="11"/>
      <c r="BD358" s="9" t="s">
        <v>325</v>
      </c>
      <c r="BE358" s="9" t="s">
        <v>86</v>
      </c>
      <c r="BF358" s="9" t="s">
        <v>402</v>
      </c>
      <c r="BG358" s="9" t="s">
        <v>749</v>
      </c>
      <c r="BH358" s="9" t="s">
        <v>304</v>
      </c>
      <c r="BI358" s="9" t="s">
        <v>3513</v>
      </c>
      <c r="BJ358" s="9" t="s">
        <v>3514</v>
      </c>
      <c r="BK358" s="11">
        <v>400</v>
      </c>
      <c r="BL358" s="16" t="s">
        <v>299</v>
      </c>
      <c r="BM358" s="10"/>
      <c r="BN358" s="10">
        <v>45204.916666666664</v>
      </c>
      <c r="BO358" s="10"/>
      <c r="BP358" s="16"/>
      <c r="BQ358" s="16"/>
      <c r="BR358" s="9"/>
      <c r="BS358" s="9"/>
      <c r="BT358" s="9"/>
      <c r="BU358" s="9"/>
      <c r="BV358" s="9"/>
      <c r="BW358" s="10"/>
      <c r="BX358" s="15" t="s">
        <v>1438</v>
      </c>
      <c r="BY358" s="10">
        <v>44455</v>
      </c>
      <c r="BZ358" s="10">
        <v>51759</v>
      </c>
      <c r="CA358" s="10">
        <v>44924</v>
      </c>
      <c r="CC358" s="9" t="s">
        <v>308</v>
      </c>
      <c r="CD358" s="9" t="s">
        <v>309</v>
      </c>
    </row>
    <row r="359" spans="1:82">
      <c r="A359" s="8">
        <v>12290</v>
      </c>
      <c r="B359" s="9" t="s">
        <v>4440</v>
      </c>
      <c r="C359" s="9" t="s">
        <v>3502</v>
      </c>
      <c r="D359" s="10">
        <v>44455</v>
      </c>
      <c r="E359" s="9" t="s">
        <v>4352</v>
      </c>
      <c r="F359" s="9" t="s">
        <v>1498</v>
      </c>
      <c r="G359" s="9" t="s">
        <v>4118</v>
      </c>
      <c r="H359" s="9" t="s">
        <v>281</v>
      </c>
      <c r="I359" s="9" t="s">
        <v>282</v>
      </c>
      <c r="J359" s="9" t="s">
        <v>283</v>
      </c>
      <c r="K359" s="9" t="s">
        <v>1696</v>
      </c>
      <c r="L359" s="9" t="s">
        <v>4441</v>
      </c>
      <c r="M359" s="9" t="s">
        <v>4442</v>
      </c>
      <c r="N359" s="8">
        <v>1</v>
      </c>
      <c r="O359" s="9" t="s">
        <v>4443</v>
      </c>
      <c r="P359" s="11">
        <v>99.9</v>
      </c>
      <c r="Q359" s="11">
        <v>110</v>
      </c>
      <c r="R359" s="11">
        <v>89</v>
      </c>
      <c r="S359" s="11">
        <v>1310.84</v>
      </c>
      <c r="T359" s="11">
        <v>130952.916</v>
      </c>
      <c r="U359" s="12">
        <v>0.05</v>
      </c>
      <c r="V359" s="12"/>
      <c r="W359" s="11"/>
      <c r="X359" s="9" t="s">
        <v>288</v>
      </c>
      <c r="Y359" s="10">
        <v>43991</v>
      </c>
      <c r="Z359" s="13">
        <v>0.1051</v>
      </c>
      <c r="AC359" s="9" t="s">
        <v>289</v>
      </c>
      <c r="AD359" s="9" t="s">
        <v>290</v>
      </c>
      <c r="AE359" s="8">
        <v>491.85629999999998</v>
      </c>
      <c r="AF359" s="14">
        <v>45.346939999999996</v>
      </c>
      <c r="AG359" s="14">
        <v>2.0956700000000001</v>
      </c>
      <c r="AH359" s="9" t="s">
        <v>3129</v>
      </c>
      <c r="AI359" s="15" t="s">
        <v>319</v>
      </c>
      <c r="AJ359" s="9" t="s">
        <v>293</v>
      </c>
      <c r="AK359" s="9" t="s">
        <v>4356</v>
      </c>
      <c r="AL359" s="9" t="s">
        <v>4357</v>
      </c>
      <c r="AM359" s="9"/>
      <c r="AN359" s="9" t="s">
        <v>4358</v>
      </c>
      <c r="AO359" s="9"/>
      <c r="AP359" s="9" t="s">
        <v>597</v>
      </c>
      <c r="AQ359" s="9" t="s">
        <v>3134</v>
      </c>
      <c r="AR359" t="b">
        <v>0</v>
      </c>
      <c r="AS359" s="10"/>
      <c r="AT359" s="10" t="s">
        <v>299</v>
      </c>
      <c r="AU359" s="9"/>
      <c r="AW359" s="12"/>
      <c r="AX359" s="11"/>
      <c r="AY359" s="9"/>
      <c r="AZ359" t="b">
        <v>0</v>
      </c>
      <c r="BA359" s="9"/>
      <c r="BB359" s="12"/>
      <c r="BC359" s="11"/>
      <c r="BD359" s="9" t="s">
        <v>325</v>
      </c>
      <c r="BE359" s="9" t="s">
        <v>86</v>
      </c>
      <c r="BF359" s="9" t="s">
        <v>402</v>
      </c>
      <c r="BG359" s="9" t="s">
        <v>749</v>
      </c>
      <c r="BH359" s="9" t="s">
        <v>304</v>
      </c>
      <c r="BI359" s="9" t="s">
        <v>3513</v>
      </c>
      <c r="BJ359" s="9" t="s">
        <v>3514</v>
      </c>
      <c r="BK359" s="11">
        <v>400</v>
      </c>
      <c r="BL359" s="16" t="s">
        <v>299</v>
      </c>
      <c r="BM359" s="10"/>
      <c r="BN359" s="10">
        <v>45204.916666666664</v>
      </c>
      <c r="BO359" s="10"/>
      <c r="BP359" s="16"/>
      <c r="BQ359" s="16"/>
      <c r="BR359" s="9"/>
      <c r="BS359" s="9"/>
      <c r="BT359" s="9"/>
      <c r="BU359" s="9"/>
      <c r="BV359" s="9"/>
      <c r="BW359" s="10"/>
      <c r="BX359" s="15" t="s">
        <v>2155</v>
      </c>
      <c r="BY359" s="10">
        <v>44455</v>
      </c>
      <c r="BZ359" s="10">
        <v>51759</v>
      </c>
      <c r="CA359" s="10">
        <v>44782</v>
      </c>
      <c r="CC359" s="9" t="s">
        <v>308</v>
      </c>
      <c r="CD359" s="9" t="s">
        <v>309</v>
      </c>
    </row>
    <row r="360" spans="1:82">
      <c r="A360" s="8">
        <v>12140</v>
      </c>
      <c r="B360" s="9" t="s">
        <v>4444</v>
      </c>
      <c r="C360" s="9" t="s">
        <v>3502</v>
      </c>
      <c r="D360" s="10">
        <v>44407</v>
      </c>
      <c r="E360" s="9" t="s">
        <v>4445</v>
      </c>
      <c r="F360" s="9" t="s">
        <v>4446</v>
      </c>
      <c r="G360" s="9" t="s">
        <v>4447</v>
      </c>
      <c r="H360" s="9" t="s">
        <v>281</v>
      </c>
      <c r="I360" s="9" t="s">
        <v>282</v>
      </c>
      <c r="J360" s="9" t="s">
        <v>283</v>
      </c>
      <c r="K360" s="9" t="s">
        <v>1696</v>
      </c>
      <c r="L360" s="9" t="s">
        <v>4448</v>
      </c>
      <c r="M360" s="9" t="s">
        <v>4449</v>
      </c>
      <c r="N360" s="8">
        <v>1</v>
      </c>
      <c r="O360" s="9" t="s">
        <v>4450</v>
      </c>
      <c r="P360" s="11">
        <v>100.64</v>
      </c>
      <c r="Q360" s="11">
        <v>88</v>
      </c>
      <c r="R360" s="11">
        <v>88</v>
      </c>
      <c r="S360" s="11">
        <v>1590.42</v>
      </c>
      <c r="T360" s="11">
        <v>160059.8688</v>
      </c>
      <c r="U360" s="12">
        <v>0.05</v>
      </c>
      <c r="V360" s="12"/>
      <c r="W360" s="11"/>
      <c r="X360" s="9" t="s">
        <v>288</v>
      </c>
      <c r="Y360" s="10">
        <v>43861</v>
      </c>
      <c r="Z360" s="13">
        <v>0.1051</v>
      </c>
      <c r="AC360" s="9" t="s">
        <v>289</v>
      </c>
      <c r="AD360" s="9" t="s">
        <v>290</v>
      </c>
      <c r="AE360" s="8">
        <v>495.49968000000001</v>
      </c>
      <c r="AF360" s="14">
        <v>43.45299</v>
      </c>
      <c r="AG360" s="14">
        <v>5.9501400000000002</v>
      </c>
      <c r="AH360" s="9" t="s">
        <v>3129</v>
      </c>
      <c r="AI360" s="15" t="s">
        <v>319</v>
      </c>
      <c r="AJ360" s="9" t="s">
        <v>293</v>
      </c>
      <c r="AK360" s="9" t="s">
        <v>4451</v>
      </c>
      <c r="AL360" s="9" t="s">
        <v>4452</v>
      </c>
      <c r="AM360" s="9"/>
      <c r="AN360" s="9" t="s">
        <v>4453</v>
      </c>
      <c r="AO360" s="9"/>
      <c r="AP360" s="9" t="s">
        <v>3792</v>
      </c>
      <c r="AQ360" s="9" t="s">
        <v>3134</v>
      </c>
      <c r="AR360" t="b">
        <v>0</v>
      </c>
      <c r="AS360" s="10"/>
      <c r="AT360" s="10" t="s">
        <v>299</v>
      </c>
      <c r="AU360" s="9"/>
      <c r="AW360" s="12"/>
      <c r="AX360" s="11"/>
      <c r="AY360" s="9"/>
      <c r="AZ360" t="b">
        <v>0</v>
      </c>
      <c r="BA360" s="9"/>
      <c r="BB360" s="12"/>
      <c r="BC360" s="11"/>
      <c r="BD360" s="9" t="s">
        <v>300</v>
      </c>
      <c r="BE360" s="9" t="s">
        <v>86</v>
      </c>
      <c r="BF360" s="9" t="s">
        <v>402</v>
      </c>
      <c r="BG360" s="9" t="s">
        <v>967</v>
      </c>
      <c r="BH360" s="9" t="s">
        <v>304</v>
      </c>
      <c r="BI360" s="9" t="s">
        <v>3513</v>
      </c>
      <c r="BJ360" s="9" t="s">
        <v>3514</v>
      </c>
      <c r="BK360" s="11">
        <v>400</v>
      </c>
      <c r="BL360" s="16" t="s">
        <v>299</v>
      </c>
      <c r="BM360" s="10"/>
      <c r="BN360" s="10">
        <v>45204.916666666664</v>
      </c>
      <c r="BO360" s="10"/>
      <c r="BP360" s="16"/>
      <c r="BQ360" s="16"/>
      <c r="BR360" s="9"/>
      <c r="BS360" s="9"/>
      <c r="BT360" s="9"/>
      <c r="BU360" s="9"/>
      <c r="BV360" s="9"/>
      <c r="BW360" s="10"/>
      <c r="BX360" s="15" t="s">
        <v>4454</v>
      </c>
      <c r="BY360" s="10">
        <v>44407</v>
      </c>
      <c r="BZ360" s="10">
        <v>51711</v>
      </c>
      <c r="CA360" s="10">
        <v>44819</v>
      </c>
      <c r="CC360" s="9" t="s">
        <v>308</v>
      </c>
      <c r="CD360" s="9" t="s">
        <v>309</v>
      </c>
    </row>
    <row r="361" spans="1:82" ht="29.1">
      <c r="A361" s="8">
        <v>11337</v>
      </c>
      <c r="B361" s="9" t="s">
        <v>4455</v>
      </c>
      <c r="C361" s="9" t="s">
        <v>3502</v>
      </c>
      <c r="D361" s="10">
        <v>44389</v>
      </c>
      <c r="E361" s="9" t="s">
        <v>4456</v>
      </c>
      <c r="F361" s="9" t="s">
        <v>3656</v>
      </c>
      <c r="G361" s="9" t="s">
        <v>4457</v>
      </c>
      <c r="H361" s="9" t="s">
        <v>281</v>
      </c>
      <c r="I361" s="9" t="s">
        <v>282</v>
      </c>
      <c r="J361" s="9" t="s">
        <v>283</v>
      </c>
      <c r="K361" s="9" t="s">
        <v>1696</v>
      </c>
      <c r="L361" s="9" t="s">
        <v>4458</v>
      </c>
      <c r="M361" s="9" t="s">
        <v>4459</v>
      </c>
      <c r="N361" s="8">
        <v>1</v>
      </c>
      <c r="O361" s="9" t="s">
        <v>4460</v>
      </c>
      <c r="P361" s="11">
        <v>100.64</v>
      </c>
      <c r="Q361" s="11">
        <v>88</v>
      </c>
      <c r="R361" s="11">
        <v>99.68</v>
      </c>
      <c r="S361" s="11">
        <v>1250.5</v>
      </c>
      <c r="T361" s="11">
        <v>125850.32</v>
      </c>
      <c r="U361" s="12">
        <v>1.9E-2</v>
      </c>
      <c r="V361" s="12"/>
      <c r="W361" s="11"/>
      <c r="X361" s="9" t="s">
        <v>288</v>
      </c>
      <c r="Y361" s="10">
        <v>43839</v>
      </c>
      <c r="Z361" s="13">
        <v>0.1051</v>
      </c>
      <c r="AC361" s="9" t="s">
        <v>289</v>
      </c>
      <c r="AD361" s="9" t="s">
        <v>290</v>
      </c>
      <c r="AE361" s="8">
        <v>495.49968000000001</v>
      </c>
      <c r="AF361" s="14">
        <v>45.274439999999998</v>
      </c>
      <c r="AG361" s="14">
        <v>2.0786099999999998</v>
      </c>
      <c r="AH361" s="9" t="s">
        <v>3129</v>
      </c>
      <c r="AI361" s="15" t="s">
        <v>319</v>
      </c>
      <c r="AJ361" s="9" t="s">
        <v>293</v>
      </c>
      <c r="AK361" s="9" t="s">
        <v>4461</v>
      </c>
      <c r="AL361" s="9" t="s">
        <v>4462</v>
      </c>
      <c r="AM361" s="9"/>
      <c r="AN361" s="9" t="s">
        <v>4463</v>
      </c>
      <c r="AO361" s="9"/>
      <c r="AP361" s="9" t="s">
        <v>3792</v>
      </c>
      <c r="AQ361" s="9" t="s">
        <v>3134</v>
      </c>
      <c r="AR361" t="b">
        <v>0</v>
      </c>
      <c r="AS361" s="10"/>
      <c r="AT361" s="10" t="s">
        <v>299</v>
      </c>
      <c r="AU361" s="9"/>
      <c r="AW361" s="12"/>
      <c r="AX361" s="11"/>
      <c r="AY361" s="9"/>
      <c r="AZ361" t="b">
        <v>0</v>
      </c>
      <c r="BA361" s="9"/>
      <c r="BB361" s="12"/>
      <c r="BC361" s="11"/>
      <c r="BD361" s="9" t="s">
        <v>325</v>
      </c>
      <c r="BE361" s="9" t="s">
        <v>86</v>
      </c>
      <c r="BF361" s="9" t="s">
        <v>402</v>
      </c>
      <c r="BG361" s="9" t="s">
        <v>749</v>
      </c>
      <c r="BH361" s="9" t="s">
        <v>304</v>
      </c>
      <c r="BI361" s="9" t="s">
        <v>3513</v>
      </c>
      <c r="BJ361" s="9" t="s">
        <v>3514</v>
      </c>
      <c r="BK361" s="11">
        <v>400</v>
      </c>
      <c r="BL361" s="16" t="s">
        <v>299</v>
      </c>
      <c r="BM361" s="10"/>
      <c r="BN361" s="10"/>
      <c r="BO361" s="10"/>
      <c r="BP361" s="16"/>
      <c r="BQ361" s="16"/>
      <c r="BR361" s="9"/>
      <c r="BS361" s="9"/>
      <c r="BT361" s="9"/>
      <c r="BU361" s="9"/>
      <c r="BV361" s="9"/>
      <c r="BW361" s="10"/>
      <c r="BX361" s="15" t="s">
        <v>4464</v>
      </c>
      <c r="BY361" s="10">
        <v>44389</v>
      </c>
      <c r="BZ361" s="10">
        <v>51693</v>
      </c>
      <c r="CA361" s="10">
        <v>44553</v>
      </c>
      <c r="CC361" s="9" t="s">
        <v>308</v>
      </c>
      <c r="CD361" s="9" t="s">
        <v>309</v>
      </c>
    </row>
    <row r="362" spans="1:82">
      <c r="A362" s="8">
        <v>11373</v>
      </c>
      <c r="B362" s="9" t="s">
        <v>3530</v>
      </c>
      <c r="C362" s="9" t="s">
        <v>3502</v>
      </c>
      <c r="D362" s="10">
        <v>44389</v>
      </c>
      <c r="E362" s="9" t="s">
        <v>4465</v>
      </c>
      <c r="F362" s="9" t="s">
        <v>3532</v>
      </c>
      <c r="G362" s="9" t="s">
        <v>4466</v>
      </c>
      <c r="H362" s="9" t="s">
        <v>315</v>
      </c>
      <c r="I362" s="9" t="s">
        <v>282</v>
      </c>
      <c r="J362" s="9" t="s">
        <v>283</v>
      </c>
      <c r="K362" s="9" t="s">
        <v>1696</v>
      </c>
      <c r="L362" s="9" t="s">
        <v>4467</v>
      </c>
      <c r="M362" s="9" t="s">
        <v>4468</v>
      </c>
      <c r="N362" s="8">
        <v>1</v>
      </c>
      <c r="O362" s="9" t="s">
        <v>4469</v>
      </c>
      <c r="P362" s="11">
        <v>76</v>
      </c>
      <c r="Q362" s="11">
        <v>77</v>
      </c>
      <c r="R362" s="11">
        <v>100</v>
      </c>
      <c r="S362" s="11">
        <v>1349.51</v>
      </c>
      <c r="T362" s="11">
        <v>102562.76</v>
      </c>
      <c r="U362" s="12">
        <v>0.05</v>
      </c>
      <c r="V362" s="12"/>
      <c r="W362" s="11"/>
      <c r="X362" s="9" t="s">
        <v>288</v>
      </c>
      <c r="Y362" s="10">
        <v>43843</v>
      </c>
      <c r="Z362" s="13">
        <v>0.1051</v>
      </c>
      <c r="AC362" s="9" t="s">
        <v>289</v>
      </c>
      <c r="AD362" s="9" t="s">
        <v>290</v>
      </c>
      <c r="AE362" s="8">
        <v>365.25</v>
      </c>
      <c r="AF362" s="14">
        <v>43.144820000000003</v>
      </c>
      <c r="AG362" s="14">
        <v>6.0256499999999997</v>
      </c>
      <c r="AH362" s="9" t="s">
        <v>3129</v>
      </c>
      <c r="AI362" s="15" t="s">
        <v>319</v>
      </c>
      <c r="AJ362" s="9" t="s">
        <v>293</v>
      </c>
      <c r="AK362" s="9" t="s">
        <v>3537</v>
      </c>
      <c r="AL362" s="9" t="s">
        <v>3538</v>
      </c>
      <c r="AM362" s="9"/>
      <c r="AN362" s="9" t="s">
        <v>3539</v>
      </c>
      <c r="AO362" s="9" t="s">
        <v>3540</v>
      </c>
      <c r="AP362" s="9" t="s">
        <v>3792</v>
      </c>
      <c r="AQ362" s="9" t="s">
        <v>3178</v>
      </c>
      <c r="AR362" t="b">
        <v>1</v>
      </c>
      <c r="AS362" s="10">
        <v>44389</v>
      </c>
      <c r="AT362" s="10">
        <v>45850</v>
      </c>
      <c r="AU362" s="9" t="s">
        <v>3849</v>
      </c>
      <c r="AW362" s="12">
        <v>0.15</v>
      </c>
      <c r="AX362" s="11"/>
      <c r="AY362" s="9" t="s">
        <v>471</v>
      </c>
      <c r="AZ362" t="b">
        <v>0</v>
      </c>
      <c r="BA362" s="9"/>
      <c r="BB362" s="12"/>
      <c r="BC362" s="11"/>
      <c r="BD362" s="9" t="s">
        <v>300</v>
      </c>
      <c r="BE362" s="9" t="s">
        <v>86</v>
      </c>
      <c r="BF362" s="9" t="s">
        <v>690</v>
      </c>
      <c r="BG362" s="9" t="s">
        <v>967</v>
      </c>
      <c r="BH362" s="9" t="s">
        <v>304</v>
      </c>
      <c r="BI362" s="9" t="s">
        <v>3513</v>
      </c>
      <c r="BJ362" s="9" t="s">
        <v>3514</v>
      </c>
      <c r="BK362" s="11">
        <v>400</v>
      </c>
      <c r="BL362" s="16" t="s">
        <v>299</v>
      </c>
      <c r="BM362" s="10"/>
      <c r="BN362" s="10">
        <v>45204.916666666664</v>
      </c>
      <c r="BO362" s="10"/>
      <c r="BP362" s="16"/>
      <c r="BQ362" s="16"/>
      <c r="BR362" s="9" t="s">
        <v>4470</v>
      </c>
      <c r="BS362" s="9" t="s">
        <v>4471</v>
      </c>
      <c r="BT362" s="9" t="s">
        <v>4472</v>
      </c>
      <c r="BU362" s="9" t="s">
        <v>4473</v>
      </c>
      <c r="BV362" s="9" t="s">
        <v>4474</v>
      </c>
      <c r="BW362" s="10"/>
      <c r="BX362" s="15" t="s">
        <v>4475</v>
      </c>
      <c r="BY362" s="10">
        <v>44389</v>
      </c>
      <c r="BZ362" s="10">
        <v>51694</v>
      </c>
      <c r="CA362" s="10">
        <v>44552</v>
      </c>
      <c r="CC362" s="9" t="s">
        <v>308</v>
      </c>
      <c r="CD362" s="9" t="s">
        <v>309</v>
      </c>
    </row>
    <row r="363" spans="1:82">
      <c r="A363" s="8">
        <v>79213</v>
      </c>
      <c r="B363" s="9" t="s">
        <v>4476</v>
      </c>
      <c r="C363" s="9" t="s">
        <v>3609</v>
      </c>
      <c r="D363" s="10">
        <v>44385</v>
      </c>
      <c r="E363" s="9" t="s">
        <v>4477</v>
      </c>
      <c r="F363" s="9" t="s">
        <v>4478</v>
      </c>
      <c r="G363" s="9" t="s">
        <v>4479</v>
      </c>
      <c r="H363" s="9" t="s">
        <v>281</v>
      </c>
      <c r="I363" s="9" t="s">
        <v>282</v>
      </c>
      <c r="J363" s="9" t="s">
        <v>283</v>
      </c>
      <c r="K363" s="9" t="s">
        <v>1696</v>
      </c>
      <c r="L363" s="9" t="s">
        <v>4480</v>
      </c>
      <c r="M363" s="9" t="s">
        <v>4481</v>
      </c>
      <c r="N363" s="8">
        <v>1</v>
      </c>
      <c r="O363" s="9" t="s">
        <v>4482</v>
      </c>
      <c r="P363" s="11">
        <v>99.83</v>
      </c>
      <c r="Q363" s="11">
        <v>110</v>
      </c>
      <c r="R363" s="11">
        <v>90</v>
      </c>
      <c r="S363" s="11">
        <v>1195.23</v>
      </c>
      <c r="T363" s="11">
        <v>119319.8109</v>
      </c>
      <c r="U363" s="12">
        <v>0.05</v>
      </c>
      <c r="V363" s="12"/>
      <c r="W363" s="11"/>
      <c r="X363" s="9" t="s">
        <v>288</v>
      </c>
      <c r="Y363" s="10">
        <v>43679</v>
      </c>
      <c r="Z363" s="13">
        <v>0.1094</v>
      </c>
      <c r="AC363" s="9" t="s">
        <v>1754</v>
      </c>
      <c r="AD363" s="9" t="s">
        <v>1755</v>
      </c>
      <c r="AE363" s="8">
        <v>590.55999999999995</v>
      </c>
      <c r="AF363" s="14">
        <v>46.52872</v>
      </c>
      <c r="AG363" s="14">
        <v>-0.26336999999999999</v>
      </c>
      <c r="AH363" s="9" t="s">
        <v>3129</v>
      </c>
      <c r="AI363" s="15" t="s">
        <v>319</v>
      </c>
      <c r="AJ363" s="9" t="s">
        <v>293</v>
      </c>
      <c r="AK363" s="9" t="s">
        <v>4483</v>
      </c>
      <c r="AL363" s="9" t="s">
        <v>4484</v>
      </c>
      <c r="AM363" s="9"/>
      <c r="AN363" s="9" t="s">
        <v>4485</v>
      </c>
      <c r="AO363" s="9"/>
      <c r="AP363" s="9" t="s">
        <v>3619</v>
      </c>
      <c r="AQ363" s="9" t="s">
        <v>3178</v>
      </c>
      <c r="AR363" t="b">
        <v>0</v>
      </c>
      <c r="AS363" s="10"/>
      <c r="AT363" s="10" t="s">
        <v>299</v>
      </c>
      <c r="AU363" s="9"/>
      <c r="AW363" s="12"/>
      <c r="AX363" s="11"/>
      <c r="AY363" s="9"/>
      <c r="AZ363" t="b">
        <v>0</v>
      </c>
      <c r="BA363" s="9"/>
      <c r="BB363" s="12"/>
      <c r="BC363" s="11"/>
      <c r="BD363" s="9" t="s">
        <v>300</v>
      </c>
      <c r="BE363" s="9" t="s">
        <v>86</v>
      </c>
      <c r="BF363" s="9" t="s">
        <v>402</v>
      </c>
      <c r="BG363" s="9" t="s">
        <v>529</v>
      </c>
      <c r="BH363" s="9" t="s">
        <v>304</v>
      </c>
      <c r="BI363" s="9" t="s">
        <v>3620</v>
      </c>
      <c r="BJ363" s="9" t="s">
        <v>3621</v>
      </c>
      <c r="BK363" s="11">
        <v>400</v>
      </c>
      <c r="BL363" s="16" t="s">
        <v>299</v>
      </c>
      <c r="BM363" s="10"/>
      <c r="BN363" s="10"/>
      <c r="BO363" s="10"/>
      <c r="BP363" s="16"/>
      <c r="BQ363" s="16"/>
      <c r="BR363" s="9"/>
      <c r="BS363" s="9"/>
      <c r="BT363" s="9"/>
      <c r="BU363" s="9"/>
      <c r="BV363" s="9"/>
      <c r="BW363" s="10"/>
      <c r="BX363" s="15" t="s">
        <v>3653</v>
      </c>
      <c r="BY363" s="10">
        <v>44385</v>
      </c>
      <c r="BZ363" s="10">
        <v>51690</v>
      </c>
      <c r="CA363" s="10">
        <v>44440</v>
      </c>
      <c r="CC363" s="9" t="s">
        <v>308</v>
      </c>
      <c r="CD363" s="9" t="s">
        <v>309</v>
      </c>
    </row>
    <row r="364" spans="1:82">
      <c r="A364" s="8">
        <v>12950</v>
      </c>
      <c r="B364" s="9" t="s">
        <v>3475</v>
      </c>
      <c r="C364" s="9" t="s">
        <v>3502</v>
      </c>
      <c r="D364" s="10">
        <v>44379</v>
      </c>
      <c r="E364" s="9" t="s">
        <v>4486</v>
      </c>
      <c r="F364" s="9" t="s">
        <v>3477</v>
      </c>
      <c r="G364" s="9" t="s">
        <v>4487</v>
      </c>
      <c r="H364" s="9" t="s">
        <v>315</v>
      </c>
      <c r="I364" s="9" t="s">
        <v>282</v>
      </c>
      <c r="J364" s="9" t="s">
        <v>283</v>
      </c>
      <c r="K364" s="9" t="s">
        <v>1696</v>
      </c>
      <c r="L364" s="9" t="s">
        <v>4488</v>
      </c>
      <c r="M364" s="9" t="s">
        <v>4489</v>
      </c>
      <c r="N364" s="8">
        <v>1</v>
      </c>
      <c r="O364" s="9" t="s">
        <v>4490</v>
      </c>
      <c r="P364" s="11">
        <v>94.4</v>
      </c>
      <c r="Q364" s="11">
        <v>88</v>
      </c>
      <c r="R364" s="11">
        <v>100</v>
      </c>
      <c r="S364" s="11">
        <v>1261.18</v>
      </c>
      <c r="T364" s="11">
        <v>119055.39200000001</v>
      </c>
      <c r="U364" s="12">
        <v>0.05</v>
      </c>
      <c r="V364" s="12"/>
      <c r="W364" s="11"/>
      <c r="X364" s="9" t="s">
        <v>288</v>
      </c>
      <c r="Y364" s="10">
        <v>43865</v>
      </c>
      <c r="Z364" s="13">
        <v>0.1051</v>
      </c>
      <c r="AC364" s="9" t="s">
        <v>289</v>
      </c>
      <c r="AD364" s="9" t="s">
        <v>290</v>
      </c>
      <c r="AE364" s="8">
        <v>453.68261999999999</v>
      </c>
      <c r="AF364" s="14">
        <v>43.967709999999997</v>
      </c>
      <c r="AG364" s="14">
        <v>5.7907599999999997</v>
      </c>
      <c r="AH364" s="9" t="s">
        <v>3129</v>
      </c>
      <c r="AI364" s="15" t="s">
        <v>319</v>
      </c>
      <c r="AJ364" s="9" t="s">
        <v>293</v>
      </c>
      <c r="AK364" s="9" t="s">
        <v>3482</v>
      </c>
      <c r="AL364" s="9" t="s">
        <v>3483</v>
      </c>
      <c r="AM364" s="9"/>
      <c r="AN364" s="9" t="s">
        <v>3484</v>
      </c>
      <c r="AO364" s="9"/>
      <c r="AP364" s="9" t="s">
        <v>2521</v>
      </c>
      <c r="AQ364" s="9" t="s">
        <v>3178</v>
      </c>
      <c r="AR364" t="b">
        <v>1</v>
      </c>
      <c r="AS364" s="10">
        <v>46936</v>
      </c>
      <c r="AT364" s="10" t="s">
        <v>299</v>
      </c>
      <c r="AU364" s="9" t="s">
        <v>3849</v>
      </c>
      <c r="AW364" s="12">
        <v>0.2</v>
      </c>
      <c r="AX364" s="11"/>
      <c r="AY364" s="9" t="s">
        <v>471</v>
      </c>
      <c r="AZ364" t="b">
        <v>1</v>
      </c>
      <c r="BA364" s="9" t="s">
        <v>242</v>
      </c>
      <c r="BB364" s="12">
        <v>0.2</v>
      </c>
      <c r="BC364" s="11"/>
      <c r="BD364" s="9" t="s">
        <v>300</v>
      </c>
      <c r="BE364" s="9" t="s">
        <v>86</v>
      </c>
      <c r="BF364" s="9" t="s">
        <v>402</v>
      </c>
      <c r="BG364" s="9" t="s">
        <v>967</v>
      </c>
      <c r="BH364" s="9" t="s">
        <v>304</v>
      </c>
      <c r="BI364" s="9" t="s">
        <v>3513</v>
      </c>
      <c r="BJ364" s="9" t="s">
        <v>3514</v>
      </c>
      <c r="BK364" s="11">
        <v>400</v>
      </c>
      <c r="BL364" s="16" t="s">
        <v>299</v>
      </c>
      <c r="BM364" s="10"/>
      <c r="BN364" s="10"/>
      <c r="BO364" s="10"/>
      <c r="BP364" s="16"/>
      <c r="BQ364" s="16"/>
      <c r="BR364" s="9" t="s">
        <v>4491</v>
      </c>
      <c r="BS364" s="9" t="s">
        <v>3476</v>
      </c>
      <c r="BT364" s="9" t="s">
        <v>4487</v>
      </c>
      <c r="BU364" s="9" t="s">
        <v>3477</v>
      </c>
      <c r="BV364" s="9"/>
      <c r="BW364" s="10"/>
      <c r="BX364" s="15" t="s">
        <v>4492</v>
      </c>
      <c r="BY364" s="10">
        <v>44379</v>
      </c>
      <c r="BZ364" s="10">
        <v>51683</v>
      </c>
      <c r="CA364" s="10">
        <v>44665</v>
      </c>
      <c r="CC364" s="9" t="s">
        <v>308</v>
      </c>
      <c r="CD364" s="9" t="s">
        <v>309</v>
      </c>
    </row>
    <row r="365" spans="1:82">
      <c r="A365" s="8">
        <v>79214</v>
      </c>
      <c r="B365" s="9" t="s">
        <v>4493</v>
      </c>
      <c r="C365" s="9" t="s">
        <v>3609</v>
      </c>
      <c r="D365" s="10">
        <v>44379</v>
      </c>
      <c r="E365" s="9" t="s">
        <v>4494</v>
      </c>
      <c r="F365" s="9" t="s">
        <v>4495</v>
      </c>
      <c r="G365" s="9" t="s">
        <v>4496</v>
      </c>
      <c r="H365" s="9" t="s">
        <v>315</v>
      </c>
      <c r="I365" s="9" t="s">
        <v>282</v>
      </c>
      <c r="J365" s="9" t="s">
        <v>283</v>
      </c>
      <c r="K365" s="9" t="s">
        <v>1696</v>
      </c>
      <c r="L365" s="9" t="s">
        <v>4497</v>
      </c>
      <c r="M365" s="9" t="s">
        <v>4498</v>
      </c>
      <c r="N365" s="8">
        <v>1</v>
      </c>
      <c r="O365" s="9" t="s">
        <v>4499</v>
      </c>
      <c r="P365" s="11">
        <v>99.63</v>
      </c>
      <c r="Q365" s="11">
        <v>100</v>
      </c>
      <c r="R365" s="11">
        <v>90</v>
      </c>
      <c r="S365" s="11">
        <v>950.68</v>
      </c>
      <c r="T365" s="11">
        <v>94716.248399999997</v>
      </c>
      <c r="U365" s="12">
        <v>0.05</v>
      </c>
      <c r="V365" s="12"/>
      <c r="W365" s="11"/>
      <c r="X365" s="9" t="s">
        <v>288</v>
      </c>
      <c r="Y365" s="10">
        <v>43725</v>
      </c>
      <c r="Z365" s="13">
        <v>0.1094</v>
      </c>
      <c r="AC365" s="9" t="s">
        <v>289</v>
      </c>
      <c r="AD365" s="9" t="s">
        <v>290</v>
      </c>
      <c r="AE365" s="8">
        <v>480.37601000000001</v>
      </c>
      <c r="AF365" s="14">
        <v>46.308700000000002</v>
      </c>
      <c r="AG365" s="14">
        <v>-0.43218000000000001</v>
      </c>
      <c r="AH365" s="9" t="s">
        <v>3129</v>
      </c>
      <c r="AI365" s="15" t="s">
        <v>319</v>
      </c>
      <c r="AJ365" s="9" t="s">
        <v>293</v>
      </c>
      <c r="AK365" s="9" t="s">
        <v>4500</v>
      </c>
      <c r="AL365" s="9" t="s">
        <v>4501</v>
      </c>
      <c r="AM365" s="9"/>
      <c r="AN365" s="9" t="s">
        <v>4502</v>
      </c>
      <c r="AO365" s="9"/>
      <c r="AP365" s="9" t="s">
        <v>3619</v>
      </c>
      <c r="AQ365" s="9" t="s">
        <v>3178</v>
      </c>
      <c r="AR365" t="b">
        <v>1</v>
      </c>
      <c r="AS365" s="10">
        <v>44379</v>
      </c>
      <c r="AT365" s="10">
        <v>45840</v>
      </c>
      <c r="AU365" s="9" t="s">
        <v>1139</v>
      </c>
      <c r="AW365" s="12"/>
      <c r="AX365" s="11">
        <v>1100</v>
      </c>
      <c r="AY365" s="9" t="s">
        <v>471</v>
      </c>
      <c r="AZ365" t="b">
        <v>1</v>
      </c>
      <c r="BA365" s="9" t="s">
        <v>242</v>
      </c>
      <c r="BB365" s="12">
        <v>0.25</v>
      </c>
      <c r="BC365" s="11"/>
      <c r="BD365" s="9" t="s">
        <v>300</v>
      </c>
      <c r="BE365" s="9" t="s">
        <v>86</v>
      </c>
      <c r="BF365" s="9" t="s">
        <v>402</v>
      </c>
      <c r="BG365" s="9" t="s">
        <v>529</v>
      </c>
      <c r="BH365" s="9" t="s">
        <v>304</v>
      </c>
      <c r="BI365" s="9" t="s">
        <v>3620</v>
      </c>
      <c r="BJ365" s="9" t="s">
        <v>3621</v>
      </c>
      <c r="BK365" s="11">
        <v>400</v>
      </c>
      <c r="BL365" s="16" t="s">
        <v>299</v>
      </c>
      <c r="BM365" s="10"/>
      <c r="BN365" s="10"/>
      <c r="BO365" s="10"/>
      <c r="BP365" s="16"/>
      <c r="BQ365" s="16"/>
      <c r="BR365" s="9" t="s">
        <v>4503</v>
      </c>
      <c r="BS365" s="9" t="s">
        <v>4504</v>
      </c>
      <c r="BT365" s="9" t="s">
        <v>4505</v>
      </c>
      <c r="BU365" s="9" t="s">
        <v>4495</v>
      </c>
      <c r="BV365" s="9"/>
      <c r="BW365" s="10"/>
      <c r="BX365" s="15" t="s">
        <v>3653</v>
      </c>
      <c r="BY365" s="10">
        <v>44379</v>
      </c>
      <c r="BZ365" s="10">
        <v>51683</v>
      </c>
      <c r="CA365" s="10">
        <v>44915</v>
      </c>
      <c r="CC365" s="9" t="s">
        <v>308</v>
      </c>
      <c r="CD365" s="9" t="s">
        <v>309</v>
      </c>
    </row>
    <row r="366" spans="1:82">
      <c r="A366" s="8">
        <v>12131</v>
      </c>
      <c r="B366" s="9" t="s">
        <v>4506</v>
      </c>
      <c r="C366" s="9" t="s">
        <v>3502</v>
      </c>
      <c r="D366" s="10">
        <v>44372</v>
      </c>
      <c r="E366" s="9" t="s">
        <v>4507</v>
      </c>
      <c r="F366" s="9" t="s">
        <v>4508</v>
      </c>
      <c r="G366" s="9" t="s">
        <v>4509</v>
      </c>
      <c r="H366" s="9" t="s">
        <v>281</v>
      </c>
      <c r="I366" s="9" t="s">
        <v>282</v>
      </c>
      <c r="J366" s="9" t="s">
        <v>283</v>
      </c>
      <c r="K366" s="9" t="s">
        <v>1696</v>
      </c>
      <c r="L366" s="9" t="s">
        <v>4510</v>
      </c>
      <c r="M366" s="9" t="s">
        <v>4511</v>
      </c>
      <c r="N366" s="8">
        <v>1</v>
      </c>
      <c r="O366" s="9" t="s">
        <v>4512</v>
      </c>
      <c r="P366" s="11">
        <v>99.9</v>
      </c>
      <c r="Q366" s="11">
        <v>88</v>
      </c>
      <c r="R366" s="11">
        <v>100</v>
      </c>
      <c r="S366" s="11">
        <v>1203</v>
      </c>
      <c r="T366" s="11">
        <v>120179.7</v>
      </c>
      <c r="U366" s="12">
        <v>5.3999999999999999E-2</v>
      </c>
      <c r="V366" s="12"/>
      <c r="W366" s="11"/>
      <c r="X366" s="9" t="s">
        <v>288</v>
      </c>
      <c r="Y366" s="10">
        <v>43860</v>
      </c>
      <c r="Z366" s="13">
        <v>0.1051</v>
      </c>
      <c r="AC366" s="9" t="s">
        <v>289</v>
      </c>
      <c r="AD366" s="9" t="s">
        <v>290</v>
      </c>
      <c r="AE366" s="8">
        <v>491.85629999999998</v>
      </c>
      <c r="AF366" s="14">
        <v>45.62086</v>
      </c>
      <c r="AG366" s="14">
        <v>-0.61729999999999996</v>
      </c>
      <c r="AH366" s="9" t="s">
        <v>3129</v>
      </c>
      <c r="AI366" s="15" t="s">
        <v>319</v>
      </c>
      <c r="AJ366" s="9" t="s">
        <v>293</v>
      </c>
      <c r="AK366" s="9" t="s">
        <v>4513</v>
      </c>
      <c r="AL366" s="9" t="s">
        <v>4514</v>
      </c>
      <c r="AM366" s="9"/>
      <c r="AN366" s="9" t="s">
        <v>4515</v>
      </c>
      <c r="AO366" s="9"/>
      <c r="AP366" s="9" t="s">
        <v>597</v>
      </c>
      <c r="AQ366" s="9" t="s">
        <v>3512</v>
      </c>
      <c r="AR366" t="b">
        <v>0</v>
      </c>
      <c r="AS366" s="10"/>
      <c r="AT366" s="10" t="s">
        <v>299</v>
      </c>
      <c r="AU366" s="9"/>
      <c r="AW366" s="12"/>
      <c r="AX366" s="11"/>
      <c r="AY366" s="9"/>
      <c r="AZ366" t="b">
        <v>0</v>
      </c>
      <c r="BA366" s="9"/>
      <c r="BB366" s="12"/>
      <c r="BC366" s="11"/>
      <c r="BD366" s="9" t="s">
        <v>325</v>
      </c>
      <c r="BE366" s="9" t="s">
        <v>86</v>
      </c>
      <c r="BF366" s="9" t="s">
        <v>402</v>
      </c>
      <c r="BG366" s="9" t="s">
        <v>749</v>
      </c>
      <c r="BH366" s="9" t="s">
        <v>304</v>
      </c>
      <c r="BI366" s="9" t="s">
        <v>3513</v>
      </c>
      <c r="BJ366" s="9" t="s">
        <v>3514</v>
      </c>
      <c r="BK366" s="11">
        <v>400</v>
      </c>
      <c r="BL366" s="16" t="s">
        <v>299</v>
      </c>
      <c r="BM366" s="10"/>
      <c r="BN366" s="10">
        <v>45204.916666666664</v>
      </c>
      <c r="BO366" s="10"/>
      <c r="BP366" s="16"/>
      <c r="BQ366" s="16"/>
      <c r="BR366" s="9"/>
      <c r="BS366" s="9"/>
      <c r="BT366" s="9"/>
      <c r="BU366" s="9"/>
      <c r="BV366" s="9"/>
      <c r="BW366" s="10"/>
      <c r="BX366" s="15" t="s">
        <v>4516</v>
      </c>
      <c r="BY366" s="10">
        <v>44372</v>
      </c>
      <c r="BZ366" s="10">
        <v>51676</v>
      </c>
      <c r="CA366" s="10">
        <v>44705</v>
      </c>
      <c r="CC366" s="9" t="s">
        <v>308</v>
      </c>
      <c r="CD366" s="9" t="s">
        <v>309</v>
      </c>
    </row>
    <row r="367" spans="1:82">
      <c r="A367" s="8">
        <v>12414</v>
      </c>
      <c r="B367" s="9" t="s">
        <v>4517</v>
      </c>
      <c r="C367" s="9" t="s">
        <v>3502</v>
      </c>
      <c r="D367" s="10">
        <v>44372</v>
      </c>
      <c r="E367" s="9" t="s">
        <v>4518</v>
      </c>
      <c r="F367" s="9" t="s">
        <v>4519</v>
      </c>
      <c r="G367" s="9" t="s">
        <v>4520</v>
      </c>
      <c r="H367" s="9" t="s">
        <v>281</v>
      </c>
      <c r="I367" s="9" t="s">
        <v>282</v>
      </c>
      <c r="J367" s="9" t="s">
        <v>283</v>
      </c>
      <c r="K367" s="9" t="s">
        <v>1696</v>
      </c>
      <c r="L367" s="9" t="s">
        <v>4521</v>
      </c>
      <c r="M367" s="9" t="s">
        <v>4522</v>
      </c>
      <c r="N367" s="8">
        <v>1</v>
      </c>
      <c r="O367" s="9" t="s">
        <v>4523</v>
      </c>
      <c r="P367" s="11">
        <v>99.9</v>
      </c>
      <c r="Q367" s="11">
        <v>88</v>
      </c>
      <c r="R367" s="11">
        <v>87</v>
      </c>
      <c r="S367" s="11">
        <v>1157.1600000000001</v>
      </c>
      <c r="T367" s="11">
        <v>115600.284</v>
      </c>
      <c r="U367" s="12">
        <v>1.9E-2</v>
      </c>
      <c r="V367" s="12"/>
      <c r="W367" s="11"/>
      <c r="X367" s="9" t="s">
        <v>288</v>
      </c>
      <c r="Y367" s="10">
        <v>43938</v>
      </c>
      <c r="Z367" s="13">
        <v>0.1051</v>
      </c>
      <c r="AC367" s="9" t="s">
        <v>289</v>
      </c>
      <c r="AD367" s="9" t="s">
        <v>290</v>
      </c>
      <c r="AE367" s="8">
        <v>491.85629999999998</v>
      </c>
      <c r="AF367" s="14">
        <v>45.32058</v>
      </c>
      <c r="AG367" s="14">
        <v>0.28443000000000002</v>
      </c>
      <c r="AH367" s="9" t="s">
        <v>3129</v>
      </c>
      <c r="AI367" s="15" t="s">
        <v>319</v>
      </c>
      <c r="AJ367" s="9" t="s">
        <v>293</v>
      </c>
      <c r="AK367" s="9" t="s">
        <v>4524</v>
      </c>
      <c r="AL367" s="9" t="s">
        <v>4525</v>
      </c>
      <c r="AM367" s="9"/>
      <c r="AN367" s="9" t="s">
        <v>4526</v>
      </c>
      <c r="AO367" s="9"/>
      <c r="AP367" s="9" t="s">
        <v>597</v>
      </c>
      <c r="AQ367" s="9" t="s">
        <v>3512</v>
      </c>
      <c r="AR367" t="b">
        <v>0</v>
      </c>
      <c r="AS367" s="10"/>
      <c r="AT367" s="10" t="s">
        <v>299</v>
      </c>
      <c r="AU367" s="9"/>
      <c r="AW367" s="12"/>
      <c r="AX367" s="11"/>
      <c r="AY367" s="9"/>
      <c r="AZ367" t="b">
        <v>0</v>
      </c>
      <c r="BA367" s="9"/>
      <c r="BB367" s="12"/>
      <c r="BC367" s="11"/>
      <c r="BD367" s="9" t="s">
        <v>325</v>
      </c>
      <c r="BE367" s="9" t="s">
        <v>86</v>
      </c>
      <c r="BF367" s="9" t="s">
        <v>402</v>
      </c>
      <c r="BG367" s="9" t="s">
        <v>749</v>
      </c>
      <c r="BH367" s="9" t="s">
        <v>304</v>
      </c>
      <c r="BI367" s="9" t="s">
        <v>3513</v>
      </c>
      <c r="BJ367" s="9" t="s">
        <v>3514</v>
      </c>
      <c r="BK367" s="11">
        <v>400</v>
      </c>
      <c r="BL367" s="16" t="s">
        <v>299</v>
      </c>
      <c r="BM367" s="10"/>
      <c r="BN367" s="10">
        <v>45204.916666666664</v>
      </c>
      <c r="BO367" s="10"/>
      <c r="BP367" s="16"/>
      <c r="BQ367" s="16"/>
      <c r="BR367" s="9"/>
      <c r="BS367" s="9"/>
      <c r="BT367" s="9"/>
      <c r="BU367" s="9"/>
      <c r="BV367" s="9"/>
      <c r="BW367" s="10"/>
      <c r="BX367" s="15" t="s">
        <v>458</v>
      </c>
      <c r="BY367" s="10">
        <v>44372</v>
      </c>
      <c r="BZ367" s="10">
        <v>51676</v>
      </c>
      <c r="CA367" s="10">
        <v>44553</v>
      </c>
      <c r="CC367" s="9" t="s">
        <v>308</v>
      </c>
      <c r="CD367" s="9" t="s">
        <v>309</v>
      </c>
    </row>
    <row r="368" spans="1:82">
      <c r="A368" s="8">
        <v>79211</v>
      </c>
      <c r="B368" s="9" t="s">
        <v>4527</v>
      </c>
      <c r="C368" s="9" t="s">
        <v>3609</v>
      </c>
      <c r="D368" s="10">
        <v>44357</v>
      </c>
      <c r="E368" s="9" t="s">
        <v>4528</v>
      </c>
      <c r="F368" s="9" t="s">
        <v>4529</v>
      </c>
      <c r="G368" s="9" t="s">
        <v>4530</v>
      </c>
      <c r="H368" s="9" t="s">
        <v>315</v>
      </c>
      <c r="I368" s="9" t="s">
        <v>282</v>
      </c>
      <c r="J368" s="9" t="s">
        <v>283</v>
      </c>
      <c r="K368" s="9" t="s">
        <v>1696</v>
      </c>
      <c r="L368" s="9" t="s">
        <v>4531</v>
      </c>
      <c r="M368" s="9" t="s">
        <v>4532</v>
      </c>
      <c r="N368" s="8">
        <v>1</v>
      </c>
      <c r="O368" s="9" t="s">
        <v>4533</v>
      </c>
      <c r="P368" s="11">
        <v>99.75</v>
      </c>
      <c r="Q368" s="11">
        <v>110</v>
      </c>
      <c r="R368" s="11">
        <v>90</v>
      </c>
      <c r="S368" s="11">
        <v>1192.3499999999999</v>
      </c>
      <c r="T368" s="11">
        <v>118936.91250000001</v>
      </c>
      <c r="U368" s="12">
        <v>0.05</v>
      </c>
      <c r="V368" s="12"/>
      <c r="W368" s="11"/>
      <c r="X368" s="9" t="s">
        <v>288</v>
      </c>
      <c r="Y368" s="10">
        <v>43823</v>
      </c>
      <c r="Z368" s="13">
        <v>0.1076</v>
      </c>
      <c r="AC368" s="9" t="s">
        <v>289</v>
      </c>
      <c r="AD368" s="9" t="s">
        <v>290</v>
      </c>
      <c r="AE368" s="8">
        <v>484.56954000000002</v>
      </c>
      <c r="AF368" s="14">
        <v>45.738630000000001</v>
      </c>
      <c r="AG368" s="14">
        <v>0.44688</v>
      </c>
      <c r="AH368" s="9" t="s">
        <v>3129</v>
      </c>
      <c r="AI368" s="15" t="s">
        <v>319</v>
      </c>
      <c r="AJ368" s="9" t="s">
        <v>293</v>
      </c>
      <c r="AK368" s="9" t="s">
        <v>4534</v>
      </c>
      <c r="AL368" s="9" t="s">
        <v>4535</v>
      </c>
      <c r="AM368" s="9"/>
      <c r="AN368" s="9" t="s">
        <v>4536</v>
      </c>
      <c r="AO368" s="9"/>
      <c r="AP368" s="9" t="s">
        <v>3619</v>
      </c>
      <c r="AQ368" s="9" t="s">
        <v>3178</v>
      </c>
      <c r="AR368" t="b">
        <v>1</v>
      </c>
      <c r="AS368" s="10">
        <v>44357</v>
      </c>
      <c r="AT368" s="10">
        <v>45818</v>
      </c>
      <c r="AU368" s="9" t="s">
        <v>612</v>
      </c>
      <c r="AW368" s="12"/>
      <c r="AX368" s="11">
        <v>20</v>
      </c>
      <c r="AY368" s="9" t="s">
        <v>471</v>
      </c>
      <c r="AZ368" t="b">
        <v>1</v>
      </c>
      <c r="BA368" s="9" t="s">
        <v>612</v>
      </c>
      <c r="BB368" s="12"/>
      <c r="BC368" s="11">
        <v>10</v>
      </c>
      <c r="BD368" s="9" t="s">
        <v>325</v>
      </c>
      <c r="BE368" s="9" t="s">
        <v>86</v>
      </c>
      <c r="BF368" s="9" t="s">
        <v>402</v>
      </c>
      <c r="BG368" s="9" t="s">
        <v>749</v>
      </c>
      <c r="BH368" s="9" t="s">
        <v>304</v>
      </c>
      <c r="BI368" s="9" t="s">
        <v>3620</v>
      </c>
      <c r="BJ368" s="9" t="s">
        <v>3621</v>
      </c>
      <c r="BK368" s="11">
        <v>400</v>
      </c>
      <c r="BL368" s="16" t="s">
        <v>299</v>
      </c>
      <c r="BM368" s="10"/>
      <c r="BN368" s="10"/>
      <c r="BO368" s="10"/>
      <c r="BP368" s="16"/>
      <c r="BQ368" s="16"/>
      <c r="BR368" s="9" t="s">
        <v>4534</v>
      </c>
      <c r="BS368" s="9" t="s">
        <v>4537</v>
      </c>
      <c r="BT368" s="9" t="s">
        <v>4538</v>
      </c>
      <c r="BU368" s="9" t="s">
        <v>4529</v>
      </c>
      <c r="BV368" s="9"/>
      <c r="BW368" s="10"/>
      <c r="BX368" s="15" t="s">
        <v>3653</v>
      </c>
      <c r="BY368" s="10">
        <v>44357</v>
      </c>
      <c r="BZ368" s="10">
        <v>51661</v>
      </c>
      <c r="CA368" s="10">
        <v>45051</v>
      </c>
      <c r="CC368" s="9" t="s">
        <v>308</v>
      </c>
      <c r="CD368" s="9" t="s">
        <v>309</v>
      </c>
    </row>
    <row r="369" spans="1:82">
      <c r="A369" s="8">
        <v>12112</v>
      </c>
      <c r="B369" s="9" t="s">
        <v>4539</v>
      </c>
      <c r="C369" s="9" t="s">
        <v>3502</v>
      </c>
      <c r="D369" s="10">
        <v>44343</v>
      </c>
      <c r="E369" s="9" t="s">
        <v>4540</v>
      </c>
      <c r="F369" s="9" t="s">
        <v>876</v>
      </c>
      <c r="G369" s="9" t="s">
        <v>4541</v>
      </c>
      <c r="H369" s="9" t="s">
        <v>315</v>
      </c>
      <c r="I369" s="9" t="s">
        <v>282</v>
      </c>
      <c r="J369" s="9" t="s">
        <v>283</v>
      </c>
      <c r="K369" s="9" t="s">
        <v>1696</v>
      </c>
      <c r="L369" s="9" t="s">
        <v>4542</v>
      </c>
      <c r="M369" s="9" t="s">
        <v>4543</v>
      </c>
      <c r="N369" s="8">
        <v>1</v>
      </c>
      <c r="O369" s="9" t="s">
        <v>4544</v>
      </c>
      <c r="P369" s="11">
        <v>99.9</v>
      </c>
      <c r="Q369" s="11">
        <v>88</v>
      </c>
      <c r="R369" s="11">
        <v>99.68</v>
      </c>
      <c r="S369" s="11">
        <v>1405.87</v>
      </c>
      <c r="T369" s="11">
        <v>140446.413</v>
      </c>
      <c r="U369" s="12">
        <v>0.05</v>
      </c>
      <c r="V369" s="12"/>
      <c r="W369" s="11"/>
      <c r="X369" s="9" t="s">
        <v>288</v>
      </c>
      <c r="Y369" s="10">
        <v>43775</v>
      </c>
      <c r="Z369" s="13">
        <v>0.1076</v>
      </c>
      <c r="AC369" s="9" t="s">
        <v>289</v>
      </c>
      <c r="AD369" s="9" t="s">
        <v>290</v>
      </c>
      <c r="AE369" s="8">
        <v>504.5</v>
      </c>
      <c r="AF369" s="14">
        <v>44.835650000000001</v>
      </c>
      <c r="AG369" s="14">
        <v>4.9496399999999996</v>
      </c>
      <c r="AH369" s="9" t="s">
        <v>3129</v>
      </c>
      <c r="AI369" s="15" t="s">
        <v>319</v>
      </c>
      <c r="AJ369" s="9" t="s">
        <v>293</v>
      </c>
      <c r="AK369" s="9" t="s">
        <v>4545</v>
      </c>
      <c r="AL369" s="9" t="s">
        <v>4546</v>
      </c>
      <c r="AM369" s="9"/>
      <c r="AN369" s="9" t="s">
        <v>4547</v>
      </c>
      <c r="AO369" s="9"/>
      <c r="AP369" s="9" t="s">
        <v>3792</v>
      </c>
      <c r="AQ369" s="9" t="s">
        <v>3178</v>
      </c>
      <c r="AR369" t="b">
        <v>1</v>
      </c>
      <c r="AS369" s="10">
        <v>44343</v>
      </c>
      <c r="AT369" s="10">
        <v>45804</v>
      </c>
      <c r="AU369" s="9" t="s">
        <v>3849</v>
      </c>
      <c r="AW369" s="12">
        <v>0.15</v>
      </c>
      <c r="AX369" s="11"/>
      <c r="AY369" s="9" t="s">
        <v>471</v>
      </c>
      <c r="AZ369" t="b">
        <v>0</v>
      </c>
      <c r="BA369" s="9"/>
      <c r="BB369" s="12"/>
      <c r="BC369" s="11"/>
      <c r="BD369" s="9" t="s">
        <v>300</v>
      </c>
      <c r="BE369" s="9" t="s">
        <v>86</v>
      </c>
      <c r="BF369" s="9" t="s">
        <v>402</v>
      </c>
      <c r="BG369" s="9" t="s">
        <v>967</v>
      </c>
      <c r="BH369" s="9" t="s">
        <v>304</v>
      </c>
      <c r="BI369" s="9" t="s">
        <v>3513</v>
      </c>
      <c r="BJ369" s="9" t="s">
        <v>3514</v>
      </c>
      <c r="BK369" s="11">
        <v>400</v>
      </c>
      <c r="BL369" s="16" t="s">
        <v>299</v>
      </c>
      <c r="BM369" s="10"/>
      <c r="BN369" s="10">
        <v>45204.916666666664</v>
      </c>
      <c r="BO369" s="10"/>
      <c r="BP369" s="16"/>
      <c r="BQ369" s="16"/>
      <c r="BR369" s="9" t="s">
        <v>4548</v>
      </c>
      <c r="BS369" s="9"/>
      <c r="BT369" s="9" t="s">
        <v>877</v>
      </c>
      <c r="BU369" s="9" t="s">
        <v>876</v>
      </c>
      <c r="BV369" s="9"/>
      <c r="BW369" s="10"/>
      <c r="BX369" s="15" t="s">
        <v>4549</v>
      </c>
      <c r="BY369" s="10">
        <v>44343</v>
      </c>
      <c r="BZ369" s="10">
        <v>51647</v>
      </c>
      <c r="CA369" s="10">
        <v>44553</v>
      </c>
      <c r="CC369" s="9" t="s">
        <v>308</v>
      </c>
      <c r="CD369" s="9" t="s">
        <v>309</v>
      </c>
    </row>
    <row r="370" spans="1:82">
      <c r="A370" s="8">
        <v>79216</v>
      </c>
      <c r="B370" s="9" t="s">
        <v>4550</v>
      </c>
      <c r="C370" s="9" t="s">
        <v>3609</v>
      </c>
      <c r="D370" s="10">
        <v>44316</v>
      </c>
      <c r="E370" s="9" t="s">
        <v>4551</v>
      </c>
      <c r="F370" s="9" t="s">
        <v>4495</v>
      </c>
      <c r="G370" s="9" t="s">
        <v>4496</v>
      </c>
      <c r="H370" s="9" t="s">
        <v>315</v>
      </c>
      <c r="I370" s="9" t="s">
        <v>282</v>
      </c>
      <c r="J370" s="9" t="s">
        <v>283</v>
      </c>
      <c r="K370" s="9" t="s">
        <v>1696</v>
      </c>
      <c r="L370" s="9" t="s">
        <v>4552</v>
      </c>
      <c r="M370" s="9" t="s">
        <v>4553</v>
      </c>
      <c r="N370" s="8">
        <v>1</v>
      </c>
      <c r="O370" s="9" t="s">
        <v>4554</v>
      </c>
      <c r="P370" s="11">
        <v>99.96</v>
      </c>
      <c r="Q370" s="11">
        <v>110</v>
      </c>
      <c r="R370" s="11">
        <v>90</v>
      </c>
      <c r="S370" s="11">
        <v>1142.69</v>
      </c>
      <c r="T370" s="11">
        <v>114223.29240000001</v>
      </c>
      <c r="U370" s="12">
        <v>0.05</v>
      </c>
      <c r="V370" s="12"/>
      <c r="W370" s="11"/>
      <c r="X370" s="9" t="s">
        <v>288</v>
      </c>
      <c r="Y370" s="10">
        <v>43725</v>
      </c>
      <c r="Z370" s="13">
        <v>0.1094</v>
      </c>
      <c r="AC370" s="9" t="s">
        <v>289</v>
      </c>
      <c r="AD370" s="9" t="s">
        <v>290</v>
      </c>
      <c r="AE370" s="8">
        <v>494.6</v>
      </c>
      <c r="AF370" s="14">
        <v>46.309710000000003</v>
      </c>
      <c r="AG370" s="14">
        <v>-0.43298999999999999</v>
      </c>
      <c r="AH370" s="9" t="s">
        <v>3129</v>
      </c>
      <c r="AI370" s="15" t="s">
        <v>319</v>
      </c>
      <c r="AJ370" s="9" t="s">
        <v>293</v>
      </c>
      <c r="AK370" s="9" t="s">
        <v>4500</v>
      </c>
      <c r="AL370" s="9" t="s">
        <v>4501</v>
      </c>
      <c r="AM370" s="9"/>
      <c r="AN370" s="9" t="s">
        <v>4502</v>
      </c>
      <c r="AO370" s="9"/>
      <c r="AP370" s="9" t="s">
        <v>3619</v>
      </c>
      <c r="AQ370" s="9" t="s">
        <v>3178</v>
      </c>
      <c r="AR370" t="b">
        <v>1</v>
      </c>
      <c r="AS370" s="10">
        <v>44316</v>
      </c>
      <c r="AT370" s="10">
        <v>45777</v>
      </c>
      <c r="AU370" s="9" t="s">
        <v>1139</v>
      </c>
      <c r="AW370" s="12"/>
      <c r="AX370" s="11">
        <v>1000</v>
      </c>
      <c r="AY370" s="9" t="s">
        <v>471</v>
      </c>
      <c r="AZ370" t="b">
        <v>1</v>
      </c>
      <c r="BA370" s="9" t="s">
        <v>242</v>
      </c>
      <c r="BB370" s="12">
        <v>0.25</v>
      </c>
      <c r="BC370" s="11"/>
      <c r="BD370" s="9" t="s">
        <v>300</v>
      </c>
      <c r="BE370" s="9" t="s">
        <v>86</v>
      </c>
      <c r="BF370" s="9" t="s">
        <v>402</v>
      </c>
      <c r="BG370" s="9" t="s">
        <v>529</v>
      </c>
      <c r="BH370" s="9" t="s">
        <v>304</v>
      </c>
      <c r="BI370" s="9" t="s">
        <v>3620</v>
      </c>
      <c r="BJ370" s="9" t="s">
        <v>3621</v>
      </c>
      <c r="BK370" s="11">
        <v>400</v>
      </c>
      <c r="BL370" s="16" t="s">
        <v>299</v>
      </c>
      <c r="BM370" s="10"/>
      <c r="BN370" s="10"/>
      <c r="BO370" s="10"/>
      <c r="BP370" s="16"/>
      <c r="BQ370" s="16"/>
      <c r="BR370" s="9" t="s">
        <v>4555</v>
      </c>
      <c r="BS370" s="9" t="s">
        <v>4556</v>
      </c>
      <c r="BT370" s="9" t="s">
        <v>4505</v>
      </c>
      <c r="BU370" s="9" t="s">
        <v>4495</v>
      </c>
      <c r="BV370" s="9" t="s">
        <v>4557</v>
      </c>
      <c r="BW370" s="10"/>
      <c r="BX370" s="15" t="s">
        <v>1595</v>
      </c>
      <c r="BY370" s="10">
        <v>44316</v>
      </c>
      <c r="BZ370" s="10">
        <v>51620</v>
      </c>
      <c r="CA370" s="10">
        <v>45350</v>
      </c>
      <c r="CC370" s="9" t="s">
        <v>308</v>
      </c>
      <c r="CD370" s="9" t="s">
        <v>309</v>
      </c>
    </row>
    <row r="371" spans="1:82">
      <c r="A371" s="8">
        <v>79208</v>
      </c>
      <c r="B371" s="9" t="s">
        <v>4558</v>
      </c>
      <c r="C371" s="9" t="s">
        <v>3609</v>
      </c>
      <c r="D371" s="10">
        <v>44273</v>
      </c>
      <c r="E371" s="9" t="s">
        <v>4559</v>
      </c>
      <c r="F371" s="9" t="s">
        <v>4560</v>
      </c>
      <c r="G371" s="9" t="s">
        <v>4561</v>
      </c>
      <c r="H371" s="9" t="s">
        <v>315</v>
      </c>
      <c r="I371" s="9" t="s">
        <v>282</v>
      </c>
      <c r="J371" s="9" t="s">
        <v>283</v>
      </c>
      <c r="K371" s="9" t="s">
        <v>1696</v>
      </c>
      <c r="L371" s="9" t="s">
        <v>4562</v>
      </c>
      <c r="M371" s="9" t="s">
        <v>4563</v>
      </c>
      <c r="N371" s="8">
        <v>1</v>
      </c>
      <c r="O371" s="9" t="s">
        <v>4564</v>
      </c>
      <c r="P371" s="11">
        <v>99</v>
      </c>
      <c r="Q371" s="11">
        <v>110</v>
      </c>
      <c r="R371" s="11">
        <v>90</v>
      </c>
      <c r="S371" s="11">
        <v>1212.54</v>
      </c>
      <c r="T371" s="11">
        <v>120041.46</v>
      </c>
      <c r="U371" s="12">
        <v>0.05</v>
      </c>
      <c r="V371" s="12"/>
      <c r="W371" s="11"/>
      <c r="X371" s="9" t="s">
        <v>288</v>
      </c>
      <c r="Y371" s="10">
        <v>43640</v>
      </c>
      <c r="Z371" s="13">
        <v>0.11119999999999999</v>
      </c>
      <c r="AC371" s="9" t="s">
        <v>289</v>
      </c>
      <c r="AD371" s="9" t="s">
        <v>290</v>
      </c>
      <c r="AE371" s="8">
        <v>491</v>
      </c>
      <c r="AF371" s="14">
        <v>45.914020000000001</v>
      </c>
      <c r="AG371" s="14">
        <v>0.44768000000000002</v>
      </c>
      <c r="AH371" s="9" t="s">
        <v>3129</v>
      </c>
      <c r="AI371" s="15" t="s">
        <v>319</v>
      </c>
      <c r="AJ371" s="9" t="s">
        <v>293</v>
      </c>
      <c r="AK371" s="9" t="s">
        <v>4565</v>
      </c>
      <c r="AL371" s="9" t="s">
        <v>4566</v>
      </c>
      <c r="AM371" s="9"/>
      <c r="AN371" s="9" t="s">
        <v>4567</v>
      </c>
      <c r="AO371" s="9"/>
      <c r="AP371" s="9" t="s">
        <v>3619</v>
      </c>
      <c r="AQ371" s="9" t="s">
        <v>3178</v>
      </c>
      <c r="AR371" t="b">
        <v>1</v>
      </c>
      <c r="AS371" s="10">
        <v>44273</v>
      </c>
      <c r="AT371" s="10">
        <v>45734</v>
      </c>
      <c r="AU371" s="9" t="s">
        <v>1139</v>
      </c>
      <c r="AW371" s="12"/>
      <c r="AX371" s="11">
        <v>1300</v>
      </c>
      <c r="AY371" s="9" t="s">
        <v>471</v>
      </c>
      <c r="AZ371" t="b">
        <v>1</v>
      </c>
      <c r="BA371" s="9" t="s">
        <v>242</v>
      </c>
      <c r="BB371" s="12">
        <v>0</v>
      </c>
      <c r="BC371" s="11"/>
      <c r="BD371" s="9" t="s">
        <v>325</v>
      </c>
      <c r="BE371" s="9" t="s">
        <v>86</v>
      </c>
      <c r="BF371" s="9" t="s">
        <v>402</v>
      </c>
      <c r="BG371" s="9" t="s">
        <v>749</v>
      </c>
      <c r="BH371" s="9" t="s">
        <v>304</v>
      </c>
      <c r="BI371" s="9" t="s">
        <v>3620</v>
      </c>
      <c r="BJ371" s="9" t="s">
        <v>3621</v>
      </c>
      <c r="BK371" s="11">
        <v>400</v>
      </c>
      <c r="BL371" s="16" t="s">
        <v>299</v>
      </c>
      <c r="BM371" s="10"/>
      <c r="BN371" s="10"/>
      <c r="BO371" s="10"/>
      <c r="BP371" s="16"/>
      <c r="BQ371" s="16"/>
      <c r="BR371" s="9" t="s">
        <v>4565</v>
      </c>
      <c r="BS371" s="9" t="s">
        <v>4559</v>
      </c>
      <c r="BT371" s="9" t="s">
        <v>4561</v>
      </c>
      <c r="BU371" s="9" t="s">
        <v>4560</v>
      </c>
      <c r="BV371" s="9"/>
      <c r="BW371" s="10"/>
      <c r="BX371" s="15" t="s">
        <v>3713</v>
      </c>
      <c r="BY371" s="10">
        <v>44273</v>
      </c>
      <c r="BZ371" s="10">
        <v>51577</v>
      </c>
      <c r="CA371" s="10">
        <v>44390</v>
      </c>
      <c r="CC371" s="9" t="s">
        <v>308</v>
      </c>
      <c r="CD371" s="9" t="s">
        <v>309</v>
      </c>
    </row>
    <row r="372" spans="1:82">
      <c r="A372" s="8">
        <v>79209</v>
      </c>
      <c r="B372" s="9" t="s">
        <v>4568</v>
      </c>
      <c r="C372" s="9" t="s">
        <v>3609</v>
      </c>
      <c r="D372" s="10">
        <v>44229</v>
      </c>
      <c r="E372" s="9" t="s">
        <v>4569</v>
      </c>
      <c r="F372" s="9" t="s">
        <v>4570</v>
      </c>
      <c r="G372" s="9" t="s">
        <v>4571</v>
      </c>
      <c r="H372" s="9" t="s">
        <v>315</v>
      </c>
      <c r="I372" s="9" t="s">
        <v>282</v>
      </c>
      <c r="J372" s="9" t="s">
        <v>283</v>
      </c>
      <c r="K372" s="9" t="s">
        <v>1696</v>
      </c>
      <c r="L372" s="9" t="s">
        <v>4572</v>
      </c>
      <c r="M372" s="9" t="s">
        <v>4573</v>
      </c>
      <c r="N372" s="8">
        <v>1</v>
      </c>
      <c r="O372" s="9" t="s">
        <v>4574</v>
      </c>
      <c r="P372" s="11">
        <v>99.96</v>
      </c>
      <c r="Q372" s="11">
        <v>110</v>
      </c>
      <c r="R372" s="11">
        <v>90</v>
      </c>
      <c r="S372" s="11">
        <v>1137.8900000000001</v>
      </c>
      <c r="T372" s="11">
        <v>113743.4844</v>
      </c>
      <c r="U372" s="12">
        <v>0.05</v>
      </c>
      <c r="V372" s="12"/>
      <c r="W372" s="11"/>
      <c r="X372" s="9" t="s">
        <v>288</v>
      </c>
      <c r="Y372" s="10">
        <v>43644</v>
      </c>
      <c r="Z372" s="13">
        <v>0.11119999999999999</v>
      </c>
      <c r="AC372" s="9" t="s">
        <v>289</v>
      </c>
      <c r="AD372" s="9" t="s">
        <v>290</v>
      </c>
      <c r="AE372" s="8">
        <v>494.6</v>
      </c>
      <c r="AF372" s="14">
        <v>45.596400000000003</v>
      </c>
      <c r="AG372" s="14">
        <v>0.46422000000000002</v>
      </c>
      <c r="AH372" s="9" t="s">
        <v>3129</v>
      </c>
      <c r="AI372" s="15" t="s">
        <v>319</v>
      </c>
      <c r="AJ372" s="9" t="s">
        <v>293</v>
      </c>
      <c r="AK372" s="9" t="s">
        <v>4575</v>
      </c>
      <c r="AL372" s="9" t="s">
        <v>4576</v>
      </c>
      <c r="AM372" s="9" t="s">
        <v>4577</v>
      </c>
      <c r="AN372" s="9" t="s">
        <v>4578</v>
      </c>
      <c r="AO372" s="9" t="s">
        <v>4579</v>
      </c>
      <c r="AP372" s="9" t="s">
        <v>3619</v>
      </c>
      <c r="AQ372" s="9" t="s">
        <v>3178</v>
      </c>
      <c r="AR372" t="b">
        <v>1</v>
      </c>
      <c r="AS372" s="10">
        <v>44229</v>
      </c>
      <c r="AT372" s="10">
        <v>45690</v>
      </c>
      <c r="AU372" s="9" t="s">
        <v>1139</v>
      </c>
      <c r="AW372" s="12"/>
      <c r="AX372" s="11">
        <v>500</v>
      </c>
      <c r="AY372" s="9" t="s">
        <v>471</v>
      </c>
      <c r="AZ372" t="b">
        <v>1</v>
      </c>
      <c r="BA372" s="9" t="s">
        <v>242</v>
      </c>
      <c r="BB372" s="12">
        <v>0.01</v>
      </c>
      <c r="BC372" s="11"/>
      <c r="BD372" s="9" t="s">
        <v>325</v>
      </c>
      <c r="BE372" s="9" t="s">
        <v>86</v>
      </c>
      <c r="BF372" s="9" t="s">
        <v>402</v>
      </c>
      <c r="BG372" s="9" t="s">
        <v>749</v>
      </c>
      <c r="BH372" s="9" t="s">
        <v>304</v>
      </c>
      <c r="BI372" s="9" t="s">
        <v>3620</v>
      </c>
      <c r="BJ372" s="9" t="s">
        <v>3621</v>
      </c>
      <c r="BK372" s="11">
        <v>400</v>
      </c>
      <c r="BL372" s="16" t="s">
        <v>299</v>
      </c>
      <c r="BM372" s="10"/>
      <c r="BN372" s="10"/>
      <c r="BO372" s="10"/>
      <c r="BP372" s="16"/>
      <c r="BQ372" s="16"/>
      <c r="BR372" s="9" t="s">
        <v>4575</v>
      </c>
      <c r="BS372" s="9" t="s">
        <v>4580</v>
      </c>
      <c r="BT372" s="9" t="s">
        <v>4571</v>
      </c>
      <c r="BU372" s="9" t="s">
        <v>4570</v>
      </c>
      <c r="BV372" s="9"/>
      <c r="BW372" s="10"/>
      <c r="BX372" s="15" t="s">
        <v>3653</v>
      </c>
      <c r="BY372" s="10">
        <v>44229</v>
      </c>
      <c r="BZ372" s="10">
        <v>51533</v>
      </c>
      <c r="CA372" s="10">
        <v>44377</v>
      </c>
      <c r="CC372" s="9" t="s">
        <v>308</v>
      </c>
      <c r="CD372" s="9" t="s">
        <v>309</v>
      </c>
    </row>
    <row r="373" spans="1:82">
      <c r="A373" s="8">
        <v>79210</v>
      </c>
      <c r="B373" s="9" t="s">
        <v>4581</v>
      </c>
      <c r="C373" s="9" t="s">
        <v>3609</v>
      </c>
      <c r="D373" s="10">
        <v>44176</v>
      </c>
      <c r="E373" s="9" t="s">
        <v>4582</v>
      </c>
      <c r="F373" s="9" t="s">
        <v>4560</v>
      </c>
      <c r="G373" s="9" t="s">
        <v>4561</v>
      </c>
      <c r="H373" s="9" t="s">
        <v>315</v>
      </c>
      <c r="I373" s="9" t="s">
        <v>282</v>
      </c>
      <c r="J373" s="9" t="s">
        <v>283</v>
      </c>
      <c r="K373" s="9" t="s">
        <v>1696</v>
      </c>
      <c r="L373" s="9" t="s">
        <v>4583</v>
      </c>
      <c r="M373" s="9" t="s">
        <v>4584</v>
      </c>
      <c r="N373" s="8">
        <v>1</v>
      </c>
      <c r="O373" s="9" t="s">
        <v>4585</v>
      </c>
      <c r="P373" s="11">
        <v>99.96</v>
      </c>
      <c r="Q373" s="11">
        <v>110</v>
      </c>
      <c r="R373" s="11">
        <v>90</v>
      </c>
      <c r="S373" s="11">
        <v>1219.71</v>
      </c>
      <c r="T373" s="11">
        <v>121922.2116</v>
      </c>
      <c r="U373" s="12">
        <v>0.05</v>
      </c>
      <c r="V373" s="12"/>
      <c r="W373" s="11"/>
      <c r="X373" s="9" t="s">
        <v>288</v>
      </c>
      <c r="Y373" s="10">
        <v>43523</v>
      </c>
      <c r="Z373" s="13">
        <v>0.1119</v>
      </c>
      <c r="AC373" s="9" t="s">
        <v>289</v>
      </c>
      <c r="AD373" s="9" t="s">
        <v>290</v>
      </c>
      <c r="AE373" s="8">
        <v>495</v>
      </c>
      <c r="AF373" s="14">
        <v>45.874890000000001</v>
      </c>
      <c r="AG373" s="14">
        <v>0.45806999999999998</v>
      </c>
      <c r="AH373" s="9" t="s">
        <v>3129</v>
      </c>
      <c r="AI373" s="15" t="s">
        <v>319</v>
      </c>
      <c r="AJ373" s="9" t="s">
        <v>293</v>
      </c>
      <c r="AK373" s="9" t="s">
        <v>4586</v>
      </c>
      <c r="AL373" s="9" t="s">
        <v>4587</v>
      </c>
      <c r="AM373" s="9" t="s">
        <v>4535</v>
      </c>
      <c r="AN373" s="9" t="s">
        <v>4588</v>
      </c>
      <c r="AO373" s="9"/>
      <c r="AP373" s="9" t="s">
        <v>3619</v>
      </c>
      <c r="AQ373" s="9" t="s">
        <v>3178</v>
      </c>
      <c r="AR373" t="b">
        <v>1</v>
      </c>
      <c r="AS373" s="10">
        <v>44541</v>
      </c>
      <c r="AT373" s="10">
        <v>46002</v>
      </c>
      <c r="AU373" s="9" t="s">
        <v>1139</v>
      </c>
      <c r="AW373" s="12"/>
      <c r="AX373" s="11">
        <v>2000</v>
      </c>
      <c r="AY373" s="9" t="s">
        <v>471</v>
      </c>
      <c r="AZ373" t="b">
        <v>1</v>
      </c>
      <c r="BA373" s="9" t="s">
        <v>242</v>
      </c>
      <c r="BB373" s="12">
        <v>0.1</v>
      </c>
      <c r="BC373" s="11"/>
      <c r="BD373" s="9" t="s">
        <v>325</v>
      </c>
      <c r="BE373" s="9" t="s">
        <v>86</v>
      </c>
      <c r="BF373" s="9" t="s">
        <v>402</v>
      </c>
      <c r="BG373" s="9" t="s">
        <v>749</v>
      </c>
      <c r="BH373" s="9" t="s">
        <v>304</v>
      </c>
      <c r="BI373" s="9" t="s">
        <v>3620</v>
      </c>
      <c r="BJ373" s="9" t="s">
        <v>3621</v>
      </c>
      <c r="BK373" s="11">
        <v>400</v>
      </c>
      <c r="BL373" s="16" t="s">
        <v>299</v>
      </c>
      <c r="BM373" s="10"/>
      <c r="BN373" s="10"/>
      <c r="BO373" s="10"/>
      <c r="BP373" s="16"/>
      <c r="BQ373" s="16"/>
      <c r="BR373" s="9" t="s">
        <v>4589</v>
      </c>
      <c r="BS373" s="9" t="s">
        <v>4582</v>
      </c>
      <c r="BT373" s="9" t="s">
        <v>4561</v>
      </c>
      <c r="BU373" s="9" t="s">
        <v>4560</v>
      </c>
      <c r="BV373" s="9"/>
      <c r="BW373" s="10"/>
      <c r="BX373" s="15" t="s">
        <v>3713</v>
      </c>
      <c r="BY373" s="10">
        <v>44176</v>
      </c>
      <c r="BZ373" s="10">
        <v>51480</v>
      </c>
      <c r="CA373" s="10">
        <v>44277</v>
      </c>
      <c r="CC373" s="9" t="s">
        <v>308</v>
      </c>
      <c r="CD373" s="9" t="s">
        <v>309</v>
      </c>
    </row>
    <row r="374" spans="1:82">
      <c r="A374" s="8">
        <v>12451</v>
      </c>
      <c r="B374" s="9" t="s">
        <v>3008</v>
      </c>
      <c r="C374" s="9" t="s">
        <v>3502</v>
      </c>
      <c r="D374" s="10">
        <v>44140</v>
      </c>
      <c r="E374" s="9" t="s">
        <v>4590</v>
      </c>
      <c r="F374" s="9" t="s">
        <v>4591</v>
      </c>
      <c r="G374" s="9" t="s">
        <v>4592</v>
      </c>
      <c r="H374" s="9" t="s">
        <v>281</v>
      </c>
      <c r="I374" s="9" t="s">
        <v>282</v>
      </c>
      <c r="J374" s="9" t="s">
        <v>283</v>
      </c>
      <c r="K374" s="9" t="s">
        <v>1696</v>
      </c>
      <c r="L374" s="9" t="s">
        <v>4593</v>
      </c>
      <c r="M374" s="9" t="s">
        <v>4594</v>
      </c>
      <c r="N374" s="8">
        <v>1</v>
      </c>
      <c r="O374" s="9" t="s">
        <v>4595</v>
      </c>
      <c r="P374" s="11">
        <v>101.84</v>
      </c>
      <c r="Q374" s="11">
        <v>88</v>
      </c>
      <c r="R374" s="11">
        <v>99.9</v>
      </c>
      <c r="S374" s="11">
        <v>1237.6400000000001</v>
      </c>
      <c r="T374" s="11">
        <v>126041.2576</v>
      </c>
      <c r="U374" s="12">
        <v>0.05</v>
      </c>
      <c r="V374" s="12"/>
      <c r="W374" s="11"/>
      <c r="X374" s="9" t="s">
        <v>288</v>
      </c>
      <c r="Y374" s="10">
        <v>44181</v>
      </c>
      <c r="Z374" s="13">
        <v>0.1076</v>
      </c>
      <c r="AC374" s="9" t="s">
        <v>1754</v>
      </c>
      <c r="AD374" s="9" t="s">
        <v>1755</v>
      </c>
      <c r="AE374" s="8">
        <v>505.22442999999998</v>
      </c>
      <c r="AF374" s="14">
        <v>46.888779999999997</v>
      </c>
      <c r="AG374" s="14">
        <v>-0.21112</v>
      </c>
      <c r="AH374" s="9" t="s">
        <v>3129</v>
      </c>
      <c r="AI374" s="15" t="s">
        <v>319</v>
      </c>
      <c r="AJ374" s="9" t="s">
        <v>293</v>
      </c>
      <c r="AK374" s="9" t="s">
        <v>3015</v>
      </c>
      <c r="AL374" s="9" t="s">
        <v>3016</v>
      </c>
      <c r="AM374" s="9"/>
      <c r="AN374" s="9" t="s">
        <v>4596</v>
      </c>
      <c r="AO374" s="9"/>
      <c r="AP374" s="9" t="s">
        <v>4597</v>
      </c>
      <c r="AQ374" s="9" t="s">
        <v>3723</v>
      </c>
      <c r="AR374" t="b">
        <v>0</v>
      </c>
      <c r="AS374" s="10"/>
      <c r="AT374" s="10" t="s">
        <v>299</v>
      </c>
      <c r="AU374" s="9"/>
      <c r="AW374" s="12"/>
      <c r="AX374" s="11"/>
      <c r="AY374" s="9"/>
      <c r="AZ374" t="b">
        <v>0</v>
      </c>
      <c r="BA374" s="9"/>
      <c r="BB374" s="12"/>
      <c r="BC374" s="11"/>
      <c r="BD374" s="9" t="s">
        <v>300</v>
      </c>
      <c r="BE374" s="9" t="s">
        <v>86</v>
      </c>
      <c r="BF374" s="9" t="s">
        <v>402</v>
      </c>
      <c r="BG374" s="9" t="s">
        <v>529</v>
      </c>
      <c r="BH374" s="9" t="s">
        <v>304</v>
      </c>
      <c r="BI374" s="9" t="s">
        <v>3513</v>
      </c>
      <c r="BJ374" s="9" t="s">
        <v>3514</v>
      </c>
      <c r="BK374" s="11">
        <v>400</v>
      </c>
      <c r="BL374" s="16" t="s">
        <v>299</v>
      </c>
      <c r="BM374" s="10"/>
      <c r="BN374" s="10">
        <v>45204</v>
      </c>
      <c r="BO374" s="10"/>
      <c r="BP374" s="16"/>
      <c r="BQ374" s="16"/>
      <c r="BR374" s="9"/>
      <c r="BS374" s="9"/>
      <c r="BT374" s="9"/>
      <c r="BU374" s="9"/>
      <c r="BV374" s="9"/>
      <c r="BW374" s="10"/>
      <c r="BX374" s="15" t="s">
        <v>4598</v>
      </c>
      <c r="BY374" s="10">
        <v>44140</v>
      </c>
      <c r="BZ374" s="10">
        <v>51445</v>
      </c>
      <c r="CA374" s="10">
        <v>44222</v>
      </c>
      <c r="CC374" s="9" t="s">
        <v>308</v>
      </c>
      <c r="CD374" s="9" t="s">
        <v>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a44c86-5216-442e-9903-6b5211d4cf27">
      <Terms xmlns="http://schemas.microsoft.com/office/infopath/2007/PartnerControls"/>
    </lcf76f155ced4ddcb4097134ff3c332f>
    <TaxCatchAll xmlns="0f792b2b-2504-4af6-b823-53062dc8ff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BAA443659FE499F1CA6E713E84A31" ma:contentTypeVersion="10" ma:contentTypeDescription="Crée un document." ma:contentTypeScope="" ma:versionID="ffda5e90b5123a2ea4d4e3f74cf22017">
  <xsd:schema xmlns:xsd="http://www.w3.org/2001/XMLSchema" xmlns:xs="http://www.w3.org/2001/XMLSchema" xmlns:p="http://schemas.microsoft.com/office/2006/metadata/properties" xmlns:ns2="d7a44c86-5216-442e-9903-6b5211d4cf27" xmlns:ns3="0f792b2b-2504-4af6-b823-53062dc8ffba" targetNamespace="http://schemas.microsoft.com/office/2006/metadata/properties" ma:root="true" ma:fieldsID="bcca34dff1571619f319423287301d82" ns2:_="" ns3:_="">
    <xsd:import namespace="d7a44c86-5216-442e-9903-6b5211d4cf27"/>
    <xsd:import namespace="0f792b2b-2504-4af6-b823-53062dc8ff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44c86-5216-442e-9903-6b5211d4cf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44348a8-15eb-497d-b2c2-cec4ea7aa8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92b2b-2504-4af6-b823-53062dc8ff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6a6c0c-8520-48c3-b4f3-8d73f0520d03}" ma:internalName="TaxCatchAll" ma:showField="CatchAllData" ma:web="0f792b2b-2504-4af6-b823-53062dc8ff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7DCE01-C189-4FF4-BEA5-B19E651B913B}"/>
</file>

<file path=customXml/itemProps2.xml><?xml version="1.0" encoding="utf-8"?>
<ds:datastoreItem xmlns:ds="http://schemas.openxmlformats.org/officeDocument/2006/customXml" ds:itemID="{FB201A22-9B61-4DC7-A4B5-7BC92C9A7924}"/>
</file>

<file path=customXml/itemProps3.xml><?xml version="1.0" encoding="utf-8"?>
<ds:datastoreItem xmlns:ds="http://schemas.openxmlformats.org/officeDocument/2006/customXml" ds:itemID="{B37F4C20-A33B-498C-A225-43FAD596A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Loic HAEZEBAERT</dc:creator>
  <cp:keywords/>
  <dc:description/>
  <cp:lastModifiedBy>Loic HAEZEBAERT</cp:lastModifiedBy>
  <cp:revision/>
  <dcterms:created xsi:type="dcterms:W3CDTF">2025-09-05T07:05:01Z</dcterms:created>
  <dcterms:modified xsi:type="dcterms:W3CDTF">2025-11-14T17:58:47Z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0x0101006DCBAA443659FE499F1CA6E713E84A31</vt:lpwstr>
  </property>
  <property fmtid="{D5CDD505-2E9C-101B-9397-08002B2CF9AE}" pid="3" name="MediaServiceImageTags">
    <vt:lpwstr/>
  </property>
</Properties>
</file>