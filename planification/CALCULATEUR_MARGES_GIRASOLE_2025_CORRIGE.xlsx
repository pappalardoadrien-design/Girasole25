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Mission" sheetId="1" state="visible" r:id="rId1"/>
    <sheet xmlns:r="http://schemas.openxmlformats.org/officeDocument/2006/relationships" name="Coûts Réels" sheetId="2" state="visible" r:id="rId2"/>
    <sheet xmlns:r="http://schemas.openxmlformats.org/officeDocument/2006/relationships" name="Marge Net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 €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2"/>
    </font>
    <font>
      <i val="1"/>
      <color rgb="00C65911"/>
    </font>
    <font>
      <b val="1"/>
      <sz val="11"/>
    </font>
    <font>
      <b val="1"/>
      <color rgb="00C659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E7E6E6"/>
        <bgColor rgb="00E7E6E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4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6" borderId="0" pivotButton="0" quotePrefix="0" xfId="0"/>
    <xf numFmtId="164" fontId="0" fillId="7" borderId="0" pivotButton="0" quotePrefix="0" xfId="0"/>
    <xf numFmtId="0" fontId="0" fillId="7" borderId="0" pivotButton="0" quotePrefix="0" xfId="0"/>
    <xf numFmtId="165" fontId="0" fillId="7" borderId="0" pivotButton="0" quotePrefix="0" xfId="0"/>
    <xf numFmtId="0" fontId="2" fillId="0" borderId="0" pivotButton="0" quotePrefix="0" xfId="0"/>
    <xf numFmtId="164" fontId="2" fillId="0" borderId="0" pivotButton="0" quotePrefix="0" xfId="0"/>
    <xf numFmtId="9" fontId="0" fillId="7" borderId="0" pivotButton="0" quotePrefix="0" xfId="0"/>
    <xf numFmtId="164" fontId="4" fillId="5" borderId="0" pivotButton="0" quotePrefix="0" xfId="0"/>
    <xf numFmtId="0" fontId="1" fillId="4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pivotButton="0" quotePrefix="0" xfId="0"/>
    <xf numFmtId="166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</cols>
  <sheetData>
    <row r="1" ht="25" customHeight="1">
      <c r="A1" s="1" t="inlineStr">
        <is>
          <t>💰 BUDGET MISSION GIRASOLE 2025 - RÉEL FACTURÉ</t>
        </is>
      </c>
    </row>
    <row r="3">
      <c r="A3" s="2" t="inlineStr">
        <is>
          <t>Poste</t>
        </is>
      </c>
      <c r="B3" s="2" t="inlineStr">
        <is>
          <t>Quantité</t>
        </is>
      </c>
      <c r="C3" s="2" t="inlineStr">
        <is>
          <t>Prix Unitaire HT</t>
        </is>
      </c>
      <c r="D3" s="2" t="inlineStr">
        <is>
          <t>Montant HT</t>
        </is>
      </c>
    </row>
    <row r="4">
      <c r="A4" t="inlineStr">
        <is>
          <t>Audits hors toiture</t>
        </is>
      </c>
      <c r="B4" t="n">
        <v>39</v>
      </c>
      <c r="C4" s="3" t="n">
        <v>1020</v>
      </c>
      <c r="D4" s="3" t="n">
        <v>39780</v>
      </c>
    </row>
    <row r="5">
      <c r="A5" t="inlineStr">
        <is>
          <t>Audits toiture (nacelle)</t>
        </is>
      </c>
      <c r="B5" t="n">
        <v>13</v>
      </c>
      <c r="C5" s="3" t="n">
        <v>1485</v>
      </c>
      <c r="D5" s="3" t="n">
        <v>19305</v>
      </c>
    </row>
    <row r="6">
      <c r="A6" t="inlineStr">
        <is>
          <t>Frais déplacement (forfait)</t>
        </is>
      </c>
      <c r="B6" t="n">
        <v>52</v>
      </c>
      <c r="C6" s="3" t="n">
        <v>150</v>
      </c>
      <c r="D6" s="3" t="n">
        <v>7800</v>
      </c>
    </row>
    <row r="8">
      <c r="A8" s="4" t="inlineStr">
        <is>
          <t>BUDGET TOTAL HT</t>
        </is>
      </c>
      <c r="D8" s="5" t="n">
        <v>66885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18" customWidth="1" min="5" max="5"/>
  </cols>
  <sheetData>
    <row r="1" ht="25" customHeight="1">
      <c r="A1" s="6" t="inlineStr">
        <is>
          <t>📊 COÛTS RÉELS MISSION GIRASOLE 2025 - À REMPLIR</t>
        </is>
      </c>
    </row>
    <row r="2">
      <c r="A2" s="7" t="inlineStr">
        <is>
          <t>⚠️ Remplir UNIQUEMENT les cellules jaunes avec vos coûts réels estimés</t>
        </is>
      </c>
    </row>
    <row r="4">
      <c r="A4" s="2" t="inlineStr">
        <is>
          <t>Catégorie</t>
        </is>
      </c>
      <c r="B4" s="2" t="inlineStr">
        <is>
          <t>Détail</t>
        </is>
      </c>
      <c r="C4" s="2" t="inlineStr">
        <is>
          <t>Quantité</t>
        </is>
      </c>
      <c r="D4" s="2" t="inlineStr">
        <is>
          <t>Prix Unitaire</t>
        </is>
      </c>
      <c r="E4" s="2" t="inlineStr">
        <is>
          <t>Montant</t>
        </is>
      </c>
    </row>
    <row r="5">
      <c r="A5" s="8" t="inlineStr">
        <is>
          <t>1. SOUS-TRAITANCE AUDITS</t>
        </is>
      </c>
    </row>
    <row r="6">
      <c r="B6" t="inlineStr">
        <is>
          <t>Coût total audits sous-traitants</t>
        </is>
      </c>
      <c r="E6" s="9" t="n">
        <v>0</v>
      </c>
    </row>
    <row r="8">
      <c r="A8" s="8" t="inlineStr">
        <is>
          <t>2. PERSONNEL INTERNE DIAGPV</t>
        </is>
      </c>
    </row>
    <row r="9">
      <c r="B9" t="inlineStr">
        <is>
          <t>Jours-homme mission</t>
        </is>
      </c>
      <c r="C9" s="10" t="n">
        <v>0</v>
      </c>
    </row>
    <row r="10">
      <c r="B10" t="inlineStr">
        <is>
          <t>Taux jour moyen</t>
        </is>
      </c>
      <c r="D10" s="9" t="n">
        <v>0</v>
      </c>
    </row>
    <row r="11">
      <c r="B11" t="inlineStr">
        <is>
          <t>Total personnel</t>
        </is>
      </c>
      <c r="E11" s="3">
        <f>C9*D10</f>
        <v/>
      </c>
    </row>
    <row r="13">
      <c r="A13" s="8" t="inlineStr">
        <is>
          <t>3. DÉPLACEMENTS</t>
        </is>
      </c>
    </row>
    <row r="14">
      <c r="B14" t="inlineStr">
        <is>
          <t>Kilomètres totaux</t>
        </is>
      </c>
      <c r="C14" s="10" t="n">
        <v>0</v>
      </c>
    </row>
    <row r="15">
      <c r="B15" t="inlineStr">
        <is>
          <t>Coût au km</t>
        </is>
      </c>
      <c r="D15" s="11" t="n">
        <v>0.6</v>
      </c>
    </row>
    <row r="16">
      <c r="B16" t="inlineStr">
        <is>
          <t>Total km</t>
        </is>
      </c>
      <c r="E16" s="3">
        <f>C14*D15</f>
        <v/>
      </c>
    </row>
    <row r="17">
      <c r="B17" t="inlineStr">
        <is>
          <t>Péages</t>
        </is>
      </c>
      <c r="E17" s="9" t="n">
        <v>0</v>
      </c>
    </row>
    <row r="18">
      <c r="B18" t="inlineStr">
        <is>
          <t>Hébergements</t>
        </is>
      </c>
      <c r="E18" s="9" t="n">
        <v>0</v>
      </c>
    </row>
    <row r="19">
      <c r="B19" s="12" t="inlineStr">
        <is>
          <t>TOTAL DÉPLACEMENTS</t>
        </is>
      </c>
      <c r="E19" s="13">
        <f>E16+E17+E18</f>
        <v/>
      </c>
    </row>
    <row r="21">
      <c r="A21" s="8" t="inlineStr">
        <is>
          <t>4. MATÉRIEL &amp; FOURNITURES</t>
        </is>
      </c>
    </row>
    <row r="22">
      <c r="B22" t="inlineStr">
        <is>
          <t>EPI Toitures + Consommables</t>
        </is>
      </c>
      <c r="E22" s="9" t="n">
        <v>0</v>
      </c>
    </row>
    <row r="24">
      <c r="A24" s="8" t="inlineStr">
        <is>
          <t>5. FRAIS GÉNÉRAUX</t>
        </is>
      </c>
    </row>
    <row r="25">
      <c r="B25" t="inlineStr">
        <is>
          <t>% Frais généraux</t>
        </is>
      </c>
      <c r="D25" s="14" t="n">
        <v>0.15</v>
      </c>
    </row>
    <row r="26">
      <c r="B26" t="inlineStr">
        <is>
          <t>Base calcul (Budget mission)</t>
        </is>
      </c>
      <c r="E26" s="3">
        <f>'Budget Mission'!D8</f>
        <v/>
      </c>
    </row>
    <row r="27">
      <c r="B27" s="12" t="inlineStr">
        <is>
          <t>TOTAL FRAIS GÉNÉRAUX</t>
        </is>
      </c>
      <c r="E27" s="13">
        <f>D25*E26</f>
        <v/>
      </c>
    </row>
    <row r="29">
      <c r="A29" s="4" t="inlineStr">
        <is>
          <t>TOTAL COÛTS RÉELS</t>
        </is>
      </c>
      <c r="E29" s="15">
        <f>E6+E11+E18+E21+E25</f>
        <v/>
      </c>
    </row>
  </sheetData>
  <mergeCells count="7">
    <mergeCell ref="A21:E21"/>
    <mergeCell ref="A24:E24"/>
    <mergeCell ref="A2:E2"/>
    <mergeCell ref="A1:E1"/>
    <mergeCell ref="A5:E5"/>
    <mergeCell ref="A13:E13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</cols>
  <sheetData>
    <row r="1" ht="25" customHeight="1">
      <c r="A1" s="16" t="inlineStr">
        <is>
          <t>🎯 MARGE NETTE MISSION GIRASOLE 2025 - CALCULS AUTOMATIQUES</t>
        </is>
      </c>
    </row>
    <row r="3">
      <c r="A3" s="2" t="inlineStr">
        <is>
          <t>Indicateur</t>
        </is>
      </c>
      <c r="B3" s="2" t="inlineStr">
        <is>
          <t>Valeur</t>
        </is>
      </c>
      <c r="C3" s="2" t="inlineStr">
        <is>
          <t>Note</t>
        </is>
      </c>
    </row>
    <row r="5">
      <c r="A5" t="inlineStr">
        <is>
          <t>Budget Mission HT</t>
        </is>
      </c>
      <c r="B5" s="3">
        <f>'Budget Mission'!D8</f>
        <v/>
      </c>
      <c r="C5" t="inlineStr">
        <is>
          <t>Contractuel Girasole</t>
        </is>
      </c>
    </row>
    <row r="6">
      <c r="A6" t="inlineStr">
        <is>
          <t>Total Coûts Réels</t>
        </is>
      </c>
      <c r="B6" s="3">
        <f>'Coûts Réels'!E26</f>
        <v/>
      </c>
      <c r="C6" t="inlineStr">
        <is>
          <t>À remplir feuille 2</t>
        </is>
      </c>
    </row>
    <row r="8">
      <c r="A8" s="17" t="inlineStr">
        <is>
          <t>MARGE BRUTE €</t>
        </is>
      </c>
      <c r="B8" s="18">
        <f>B5-B6</f>
        <v/>
      </c>
    </row>
    <row r="9">
      <c r="A9" s="17" t="inlineStr">
        <is>
          <t>MARGE BRUTE %</t>
        </is>
      </c>
      <c r="B9" s="19">
        <f>B8/B5</f>
        <v/>
      </c>
    </row>
    <row r="11">
      <c r="A11" s="8" t="inlineStr">
        <is>
          <t>INDICATEUR RENTABILITÉ</t>
        </is>
      </c>
    </row>
    <row r="12">
      <c r="A12" t="inlineStr">
        <is>
          <t>🔴 Rouge : Marge &lt; 10%</t>
        </is>
      </c>
      <c r="C12" t="inlineStr">
        <is>
          <t>Non rentable</t>
        </is>
      </c>
    </row>
    <row r="13">
      <c r="A13" t="inlineStr">
        <is>
          <t>🟠 Orange : Marge 10-20%</t>
        </is>
      </c>
      <c r="C13" t="inlineStr">
        <is>
          <t>Acceptable</t>
        </is>
      </c>
    </row>
    <row r="14">
      <c r="A14" t="inlineStr">
        <is>
          <t>🟢 Vert : Marge &gt; 20%</t>
        </is>
      </c>
      <c r="C14" t="inlineStr">
        <is>
          <t>Objectif atteint</t>
        </is>
      </c>
    </row>
    <row r="16">
      <c r="A16" s="20" t="inlineStr">
        <is>
          <t>⚠️ NOTE IMPORTANTE</t>
        </is>
      </c>
    </row>
    <row r="17">
      <c r="A17" t="inlineStr">
        <is>
          <t>Budget 66,885€ HT = RÉEL FACTURÉ Girasole (non négociable)</t>
        </is>
      </c>
    </row>
    <row r="18">
      <c r="A18" t="inlineStr">
        <is>
          <t>Objectif: Optimiser coûts pour atteindre marge &gt;10% minimum</t>
        </is>
      </c>
    </row>
  </sheetData>
  <mergeCells count="5">
    <mergeCell ref="A11:C11"/>
    <mergeCell ref="A1:C1"/>
    <mergeCell ref="A17:C17"/>
    <mergeCell ref="A18:C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2025-11-19T07:51:59Z</dcterms:created>
  <dcterms:modified xmlns:dcterms="http://purl.org/dc/terms/" xmlns:xsi="http://www.w3.org/2001/XMLSchema-instance" xsi:type="dcterms:W3CDTF">2025-11-19T07:51:59Z</dcterms:modified>
</cp:coreProperties>
</file>